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Проекты и клиенты\1-Свет Дети\Аналитика и отчеты\Проекты 2025-2026\"/>
    </mc:Choice>
  </mc:AlternateContent>
  <xr:revisionPtr revIDLastSave="0" documentId="8_{A1850652-669E-41FA-BB23-D810CDC1104F}" xr6:coauthVersionLast="45" xr6:coauthVersionMax="45" xr10:uidLastSave="{00000000-0000-0000-0000-000000000000}"/>
  <bookViews>
    <workbookView xWindow="-108" yWindow="-108" windowWidth="23256" windowHeight="14016" xr2:uid="{C5C2E863-3511-41B1-AE71-BF586127E58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" i="1" l="1"/>
  <c r="L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K199" i="1" s="1"/>
  <c r="L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K176" i="1" s="1"/>
  <c r="L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K154" i="1" s="1"/>
  <c r="L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K132" i="1" s="1"/>
  <c r="N109" i="1"/>
  <c r="M109" i="1"/>
  <c r="L109" i="1"/>
  <c r="N108" i="1"/>
  <c r="M108" i="1"/>
  <c r="L108" i="1"/>
  <c r="K108" i="1"/>
  <c r="N107" i="1"/>
  <c r="M107" i="1"/>
  <c r="L107" i="1"/>
  <c r="K107" i="1"/>
  <c r="N106" i="1"/>
  <c r="M106" i="1"/>
  <c r="L106" i="1"/>
  <c r="K106" i="1"/>
  <c r="N105" i="1"/>
  <c r="M105" i="1"/>
  <c r="L105" i="1"/>
  <c r="K105" i="1"/>
  <c r="N104" i="1"/>
  <c r="M104" i="1"/>
  <c r="L104" i="1"/>
  <c r="K104" i="1"/>
  <c r="N103" i="1"/>
  <c r="M103" i="1"/>
  <c r="L103" i="1"/>
  <c r="K103" i="1"/>
  <c r="N102" i="1"/>
  <c r="M102" i="1"/>
  <c r="L102" i="1"/>
  <c r="K102" i="1"/>
  <c r="N101" i="1"/>
  <c r="M101" i="1"/>
  <c r="L101" i="1"/>
  <c r="K101" i="1"/>
  <c r="N100" i="1"/>
  <c r="M100" i="1"/>
  <c r="L100" i="1"/>
  <c r="K100" i="1"/>
  <c r="N99" i="1"/>
  <c r="M99" i="1"/>
  <c r="L99" i="1"/>
  <c r="K99" i="1"/>
  <c r="N98" i="1"/>
  <c r="M98" i="1"/>
  <c r="L98" i="1"/>
  <c r="K98" i="1"/>
  <c r="N97" i="1"/>
  <c r="M97" i="1"/>
  <c r="L97" i="1"/>
  <c r="K97" i="1"/>
  <c r="N96" i="1"/>
  <c r="M96" i="1"/>
  <c r="L96" i="1"/>
  <c r="K96" i="1"/>
  <c r="N95" i="1"/>
  <c r="M95" i="1"/>
  <c r="L95" i="1"/>
  <c r="K95" i="1"/>
  <c r="N94" i="1"/>
  <c r="M94" i="1"/>
  <c r="L94" i="1"/>
  <c r="K94" i="1"/>
  <c r="N93" i="1"/>
  <c r="M93" i="1"/>
  <c r="L93" i="1"/>
  <c r="K93" i="1"/>
  <c r="N92" i="1"/>
  <c r="M92" i="1"/>
  <c r="L92" i="1"/>
  <c r="K92" i="1"/>
  <c r="K109" i="1" s="1"/>
  <c r="N87" i="1"/>
  <c r="M87" i="1"/>
  <c r="L87" i="1"/>
  <c r="N86" i="1"/>
  <c r="M86" i="1"/>
  <c r="L86" i="1"/>
  <c r="K86" i="1"/>
  <c r="N85" i="1"/>
  <c r="M85" i="1"/>
  <c r="L85" i="1"/>
  <c r="K85" i="1"/>
  <c r="N84" i="1"/>
  <c r="M84" i="1"/>
  <c r="L84" i="1"/>
  <c r="K84" i="1"/>
  <c r="N83" i="1"/>
  <c r="M83" i="1"/>
  <c r="L83" i="1"/>
  <c r="K83" i="1"/>
  <c r="N82" i="1"/>
  <c r="M82" i="1"/>
  <c r="L82" i="1"/>
  <c r="K82" i="1"/>
  <c r="N81" i="1"/>
  <c r="M81" i="1"/>
  <c r="L81" i="1"/>
  <c r="K81" i="1"/>
  <c r="N80" i="1"/>
  <c r="M80" i="1"/>
  <c r="L80" i="1"/>
  <c r="K80" i="1"/>
  <c r="N79" i="1"/>
  <c r="M79" i="1"/>
  <c r="L79" i="1"/>
  <c r="K79" i="1"/>
  <c r="N78" i="1"/>
  <c r="M78" i="1"/>
  <c r="L78" i="1"/>
  <c r="K78" i="1"/>
  <c r="N77" i="1"/>
  <c r="M77" i="1"/>
  <c r="L77" i="1"/>
  <c r="K77" i="1"/>
  <c r="N76" i="1"/>
  <c r="M76" i="1"/>
  <c r="L76" i="1"/>
  <c r="K76" i="1"/>
  <c r="N75" i="1"/>
  <c r="M75" i="1"/>
  <c r="L75" i="1"/>
  <c r="K75" i="1"/>
  <c r="N74" i="1"/>
  <c r="M74" i="1"/>
  <c r="L74" i="1"/>
  <c r="K74" i="1"/>
  <c r="N73" i="1"/>
  <c r="M73" i="1"/>
  <c r="L73" i="1"/>
  <c r="K73" i="1"/>
  <c r="N72" i="1"/>
  <c r="M72" i="1"/>
  <c r="L72" i="1"/>
  <c r="K72" i="1"/>
  <c r="N71" i="1"/>
  <c r="M71" i="1"/>
  <c r="L71" i="1"/>
  <c r="K71" i="1"/>
  <c r="N70" i="1"/>
  <c r="M70" i="1"/>
  <c r="L70" i="1"/>
  <c r="K70" i="1"/>
  <c r="K87" i="1" s="1"/>
  <c r="N65" i="1"/>
  <c r="M65" i="1"/>
  <c r="L65" i="1"/>
  <c r="N64" i="1"/>
  <c r="M64" i="1"/>
  <c r="L64" i="1"/>
  <c r="K64" i="1"/>
  <c r="N63" i="1"/>
  <c r="M63" i="1"/>
  <c r="L63" i="1"/>
  <c r="K63" i="1"/>
  <c r="N62" i="1"/>
  <c r="M62" i="1"/>
  <c r="L62" i="1"/>
  <c r="K62" i="1"/>
  <c r="N61" i="1"/>
  <c r="M61" i="1"/>
  <c r="L61" i="1"/>
  <c r="K61" i="1"/>
  <c r="N60" i="1"/>
  <c r="M60" i="1"/>
  <c r="L60" i="1"/>
  <c r="K60" i="1"/>
  <c r="N59" i="1"/>
  <c r="M59" i="1"/>
  <c r="L59" i="1"/>
  <c r="K59" i="1"/>
  <c r="N58" i="1"/>
  <c r="M58" i="1"/>
  <c r="L58" i="1"/>
  <c r="K58" i="1"/>
  <c r="N57" i="1"/>
  <c r="M57" i="1"/>
  <c r="L57" i="1"/>
  <c r="K57" i="1"/>
  <c r="N56" i="1"/>
  <c r="M56" i="1"/>
  <c r="L56" i="1"/>
  <c r="K56" i="1"/>
  <c r="N55" i="1"/>
  <c r="M55" i="1"/>
  <c r="L55" i="1"/>
  <c r="K55" i="1"/>
  <c r="N54" i="1"/>
  <c r="M54" i="1"/>
  <c r="L54" i="1"/>
  <c r="K54" i="1"/>
  <c r="N53" i="1"/>
  <c r="M53" i="1"/>
  <c r="L53" i="1"/>
  <c r="K53" i="1"/>
  <c r="N52" i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K65" i="1" s="1"/>
  <c r="N48" i="1"/>
  <c r="M48" i="1"/>
  <c r="L48" i="1"/>
  <c r="K48" i="1"/>
  <c r="N43" i="1"/>
  <c r="M43" i="1"/>
  <c r="L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N32" i="1"/>
  <c r="M32" i="1"/>
  <c r="L32" i="1"/>
  <c r="K32" i="1"/>
  <c r="N31" i="1"/>
  <c r="M31" i="1"/>
  <c r="L31" i="1"/>
  <c r="K31" i="1"/>
  <c r="N30" i="1"/>
  <c r="M30" i="1"/>
  <c r="L30" i="1"/>
  <c r="K30" i="1"/>
  <c r="N29" i="1"/>
  <c r="M29" i="1"/>
  <c r="L29" i="1"/>
  <c r="K29" i="1"/>
  <c r="N28" i="1"/>
  <c r="M28" i="1"/>
  <c r="L28" i="1"/>
  <c r="K28" i="1"/>
  <c r="N27" i="1"/>
  <c r="M27" i="1"/>
  <c r="L27" i="1"/>
  <c r="K27" i="1"/>
  <c r="N26" i="1"/>
  <c r="M26" i="1"/>
  <c r="L26" i="1"/>
  <c r="K26" i="1"/>
  <c r="K43" i="1" s="1"/>
  <c r="N21" i="1"/>
  <c r="M21" i="1"/>
  <c r="L21" i="1"/>
  <c r="N20" i="1"/>
  <c r="M20" i="1"/>
  <c r="L20" i="1"/>
  <c r="K20" i="1"/>
  <c r="N19" i="1"/>
  <c r="M19" i="1"/>
  <c r="L19" i="1"/>
  <c r="K19" i="1"/>
  <c r="N18" i="1"/>
  <c r="M18" i="1"/>
  <c r="L18" i="1"/>
  <c r="K18" i="1"/>
  <c r="N17" i="1"/>
  <c r="M17" i="1"/>
  <c r="L17" i="1"/>
  <c r="K17" i="1"/>
  <c r="N16" i="1"/>
  <c r="M16" i="1"/>
  <c r="L16" i="1"/>
  <c r="K16" i="1"/>
  <c r="N15" i="1"/>
  <c r="M15" i="1"/>
  <c r="L15" i="1"/>
  <c r="K15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  <c r="N9" i="1"/>
  <c r="M9" i="1"/>
  <c r="L9" i="1"/>
  <c r="K9" i="1"/>
  <c r="N8" i="1"/>
  <c r="M8" i="1"/>
  <c r="L8" i="1"/>
  <c r="K8" i="1"/>
  <c r="N7" i="1"/>
  <c r="M7" i="1"/>
  <c r="L7" i="1"/>
  <c r="K7" i="1"/>
  <c r="N6" i="1"/>
  <c r="M6" i="1"/>
  <c r="L6" i="1"/>
  <c r="K6" i="1"/>
  <c r="N5" i="1"/>
  <c r="M5" i="1"/>
  <c r="L5" i="1"/>
  <c r="K5" i="1"/>
  <c r="K21" i="1" s="1"/>
  <c r="M4" i="1"/>
  <c r="L4" i="1"/>
  <c r="K4" i="1"/>
</calcChain>
</file>

<file path=xl/sharedStrings.xml><?xml version="1.0" encoding="utf-8"?>
<sst xmlns="http://schemas.openxmlformats.org/spreadsheetml/2006/main" count="127" uniqueCount="23">
  <si>
    <t>Устав</t>
  </si>
  <si>
    <t>Месяц</t>
  </si>
  <si>
    <t>Кол-во новых подписок</t>
  </si>
  <si>
    <t>Кол-во отмененных подписок</t>
  </si>
  <si>
    <t>Дельта по кол-ву подписок</t>
  </si>
  <si>
    <t>Кол-во ежемесячных платежей</t>
  </si>
  <si>
    <t>Кол-во разовых платежей</t>
  </si>
  <si>
    <t>Сумма новых подписок</t>
  </si>
  <si>
    <t>Сумма ежемесячных платежей</t>
  </si>
  <si>
    <t>Сумма разовых платежей</t>
  </si>
  <si>
    <t>Сумма разовых и подписок</t>
  </si>
  <si>
    <t>Средн сумма подписки:</t>
  </si>
  <si>
    <t>Итого</t>
  </si>
  <si>
    <t>Расправить крылья</t>
  </si>
  <si>
    <t>Быть услышанным</t>
  </si>
  <si>
    <t>Еда</t>
  </si>
  <si>
    <t>Быть точным</t>
  </si>
  <si>
    <t>Вылечить нельзя помочь</t>
  </si>
  <si>
    <t>Остров</t>
  </si>
  <si>
    <t>Улыбанда</t>
  </si>
  <si>
    <t>Билет ценой в жизнь</t>
  </si>
  <si>
    <t>Сред.сумма разовых</t>
  </si>
  <si>
    <t>Разница подписок к разовым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</si>
</sst>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mmmm\ yyyy;@"/>
    <numFmt numFmtId="165" formatCode="dd\.mm\.yyyy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0" fontId="3" fillId="0" borderId="0" xfId="0" applyFont="1"/>
    <xf numFmtId="3" fontId="3" fillId="0" borderId="0" xfId="0" applyNumberFormat="1" applyFont="1"/>
    <xf numFmtId="1" fontId="3" fillId="0" borderId="0" xfId="0" applyNumberFormat="1" applyFont="1"/>
    <xf numFmtId="165" fontId="0" fillId="0" borderId="0" xfId="0" applyNumberFormat="1"/>
    <xf numFmtId="9" fontId="0" fillId="0" borderId="0" xfId="1" applyFont="1"/>
    <xf numFmtId="9" fontId="3" fillId="0" borderId="0" xfId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1DA2-3E62-4E83-A5CF-0C06AA736891}">
  <dimension ref="B2:N199"/>
  <sheetViews>
    <sheetView tabSelected="1" topLeftCell="A101" workbookViewId="0">
      <selection activeCell="M91" sqref="M91:N91"/>
    </sheetView>
  </sheetViews>
  <sheetFormatPr defaultRowHeight="14.4" x14ac:dyDescent="0.3"/>
  <sheetData>
    <row r="2" spans="2:14" ht="23.4" x14ac:dyDescent="0.45">
      <c r="B2" s="1" t="s">
        <v>0</v>
      </c>
    </row>
    <row r="3" spans="2:14" ht="72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21</v>
      </c>
      <c r="N3" s="2" t="s">
        <v>22</v>
      </c>
    </row>
    <row r="4" spans="2:14" x14ac:dyDescent="0.3">
      <c r="B4" s="3">
        <v>45688</v>
      </c>
      <c r="C4" s="4">
        <v>12</v>
      </c>
      <c r="D4" s="4">
        <v>17</v>
      </c>
      <c r="E4" s="4">
        <v>-5</v>
      </c>
      <c r="F4" s="4">
        <v>524</v>
      </c>
      <c r="G4" s="4">
        <v>275</v>
      </c>
      <c r="H4" s="4">
        <v>7200</v>
      </c>
      <c r="I4" s="4">
        <v>322513</v>
      </c>
      <c r="J4" s="4">
        <v>760844</v>
      </c>
      <c r="K4" s="4">
        <f>I4+J4</f>
        <v>1083357</v>
      </c>
      <c r="L4" s="5">
        <f t="shared" ref="L4:M21" si="0">I4/F4</f>
        <v>615.48282442748086</v>
      </c>
      <c r="M4" s="4">
        <f>J4/G4</f>
        <v>2766.7054545454544</v>
      </c>
      <c r="N4" s="10">
        <f>I4/J4</f>
        <v>0.4238884712240617</v>
      </c>
    </row>
    <row r="5" spans="2:14" x14ac:dyDescent="0.3">
      <c r="B5" s="3">
        <v>45716</v>
      </c>
      <c r="C5" s="4">
        <v>40</v>
      </c>
      <c r="D5" s="4">
        <v>11</v>
      </c>
      <c r="E5" s="4">
        <v>29</v>
      </c>
      <c r="F5" s="4">
        <v>551</v>
      </c>
      <c r="G5" s="4">
        <v>426</v>
      </c>
      <c r="H5" s="4">
        <v>23933</v>
      </c>
      <c r="I5" s="4">
        <v>342126</v>
      </c>
      <c r="J5" s="4">
        <v>670448</v>
      </c>
      <c r="K5" s="4">
        <f t="shared" ref="K5:K20" si="1">I5+J5</f>
        <v>1012574</v>
      </c>
      <c r="L5" s="5">
        <f t="shared" si="0"/>
        <v>620.9183303085299</v>
      </c>
      <c r="M5" s="4">
        <f t="shared" si="0"/>
        <v>1573.8215962441313</v>
      </c>
      <c r="N5" s="10">
        <f t="shared" ref="N5:N21" si="2">I5/J5</f>
        <v>0.51029460897787748</v>
      </c>
    </row>
    <row r="6" spans="2:14" x14ac:dyDescent="0.3">
      <c r="B6" s="3">
        <v>45747</v>
      </c>
      <c r="C6" s="4">
        <v>9</v>
      </c>
      <c r="D6" s="4">
        <v>24</v>
      </c>
      <c r="E6" s="4">
        <v>-15</v>
      </c>
      <c r="F6" s="4">
        <v>539</v>
      </c>
      <c r="G6" s="4">
        <v>486</v>
      </c>
      <c r="H6" s="4">
        <v>6200</v>
      </c>
      <c r="I6" s="4">
        <v>374826</v>
      </c>
      <c r="J6" s="4">
        <v>788461</v>
      </c>
      <c r="K6" s="4">
        <f t="shared" si="1"/>
        <v>1163287</v>
      </c>
      <c r="L6" s="5">
        <f t="shared" si="0"/>
        <v>695.41001855287573</v>
      </c>
      <c r="M6" s="4">
        <f t="shared" si="0"/>
        <v>1622.3477366255145</v>
      </c>
      <c r="N6" s="10">
        <f t="shared" si="2"/>
        <v>0.47538939782690581</v>
      </c>
    </row>
    <row r="7" spans="2:14" x14ac:dyDescent="0.3">
      <c r="B7" s="3">
        <v>45777</v>
      </c>
      <c r="C7" s="4">
        <v>13</v>
      </c>
      <c r="D7" s="4">
        <v>16</v>
      </c>
      <c r="E7" s="4">
        <v>-3</v>
      </c>
      <c r="F7" s="4">
        <v>540</v>
      </c>
      <c r="G7" s="4">
        <v>412</v>
      </c>
      <c r="H7" s="4">
        <v>6000</v>
      </c>
      <c r="I7" s="4">
        <v>327976</v>
      </c>
      <c r="J7" s="4">
        <v>762899</v>
      </c>
      <c r="K7" s="4">
        <f t="shared" si="1"/>
        <v>1090875</v>
      </c>
      <c r="L7" s="5">
        <f t="shared" si="0"/>
        <v>607.36296296296291</v>
      </c>
      <c r="M7" s="4">
        <f t="shared" si="0"/>
        <v>1851.6966019417475</v>
      </c>
      <c r="N7" s="10">
        <f t="shared" si="2"/>
        <v>0.42990749758487035</v>
      </c>
    </row>
    <row r="8" spans="2:14" x14ac:dyDescent="0.3">
      <c r="B8" s="3">
        <v>45808</v>
      </c>
      <c r="C8" s="4">
        <v>11</v>
      </c>
      <c r="D8" s="4">
        <v>24</v>
      </c>
      <c r="E8" s="4">
        <v>-13</v>
      </c>
      <c r="F8" s="4">
        <v>533</v>
      </c>
      <c r="G8" s="4">
        <v>308</v>
      </c>
      <c r="H8" s="4">
        <v>6200</v>
      </c>
      <c r="I8" s="4">
        <v>319726</v>
      </c>
      <c r="J8" s="4">
        <v>939960</v>
      </c>
      <c r="K8" s="4">
        <f t="shared" si="1"/>
        <v>1259686</v>
      </c>
      <c r="L8" s="5">
        <f t="shared" si="0"/>
        <v>599.86116322701685</v>
      </c>
      <c r="M8" s="4">
        <f t="shared" si="0"/>
        <v>3051.818181818182</v>
      </c>
      <c r="N8" s="10">
        <f t="shared" si="2"/>
        <v>0.34014851695816845</v>
      </c>
    </row>
    <row r="9" spans="2:14" x14ac:dyDescent="0.3">
      <c r="B9" s="3">
        <v>45838</v>
      </c>
      <c r="C9" s="4">
        <v>11</v>
      </c>
      <c r="D9" s="4">
        <v>11</v>
      </c>
      <c r="E9" s="4">
        <v>0</v>
      </c>
      <c r="F9" s="4">
        <v>518</v>
      </c>
      <c r="G9" s="4">
        <v>268</v>
      </c>
      <c r="H9" s="4">
        <v>31750</v>
      </c>
      <c r="I9" s="4">
        <v>340226</v>
      </c>
      <c r="J9" s="4">
        <v>794832</v>
      </c>
      <c r="K9" s="4">
        <f t="shared" si="1"/>
        <v>1135058</v>
      </c>
      <c r="L9" s="5">
        <f t="shared" si="0"/>
        <v>656.80694980694977</v>
      </c>
      <c r="M9" s="4">
        <f t="shared" si="0"/>
        <v>2965.7910447761192</v>
      </c>
      <c r="N9" s="10">
        <f t="shared" si="2"/>
        <v>0.42804768806489923</v>
      </c>
    </row>
    <row r="10" spans="2:14" x14ac:dyDescent="0.3">
      <c r="B10" s="3">
        <v>45869</v>
      </c>
      <c r="C10" s="4">
        <v>11</v>
      </c>
      <c r="D10" s="4">
        <v>16</v>
      </c>
      <c r="E10" s="4">
        <v>-5</v>
      </c>
      <c r="F10" s="4">
        <v>524</v>
      </c>
      <c r="G10" s="4">
        <v>255</v>
      </c>
      <c r="H10" s="4">
        <v>8200</v>
      </c>
      <c r="I10" s="4">
        <v>322926</v>
      </c>
      <c r="J10" s="4">
        <v>669111</v>
      </c>
      <c r="K10" s="4">
        <f t="shared" si="1"/>
        <v>992037</v>
      </c>
      <c r="L10" s="5">
        <f t="shared" si="0"/>
        <v>616.2709923664122</v>
      </c>
      <c r="M10" s="4">
        <f t="shared" si="0"/>
        <v>2623.964705882353</v>
      </c>
      <c r="N10" s="10">
        <f t="shared" si="2"/>
        <v>0.4826194756923739</v>
      </c>
    </row>
    <row r="11" spans="2:14" x14ac:dyDescent="0.3">
      <c r="B11" s="3">
        <v>45900</v>
      </c>
      <c r="C11" s="4">
        <v>10</v>
      </c>
      <c r="D11" s="4">
        <v>19</v>
      </c>
      <c r="E11" s="4">
        <v>-9</v>
      </c>
      <c r="F11" s="4">
        <v>516</v>
      </c>
      <c r="G11" s="4">
        <v>290</v>
      </c>
      <c r="H11" s="4">
        <v>27700</v>
      </c>
      <c r="I11" s="4">
        <v>342276</v>
      </c>
      <c r="J11" s="4">
        <v>831196</v>
      </c>
      <c r="K11" s="4">
        <f t="shared" si="1"/>
        <v>1173472</v>
      </c>
      <c r="L11" s="5">
        <f t="shared" si="0"/>
        <v>663.32558139534888</v>
      </c>
      <c r="M11" s="4">
        <f t="shared" si="0"/>
        <v>2866.1931034482759</v>
      </c>
      <c r="N11" s="10">
        <f t="shared" si="2"/>
        <v>0.41178735220092494</v>
      </c>
    </row>
    <row r="12" spans="2:14" x14ac:dyDescent="0.3">
      <c r="B12" s="3">
        <v>45930</v>
      </c>
      <c r="C12" s="4">
        <v>15</v>
      </c>
      <c r="D12" s="4">
        <v>13</v>
      </c>
      <c r="E12" s="4">
        <v>2</v>
      </c>
      <c r="F12" s="4">
        <v>514</v>
      </c>
      <c r="G12" s="4">
        <v>391</v>
      </c>
      <c r="H12" s="4">
        <v>10700</v>
      </c>
      <c r="I12" s="4">
        <v>344088</v>
      </c>
      <c r="J12" s="4">
        <v>793024</v>
      </c>
      <c r="K12" s="4">
        <f t="shared" si="1"/>
        <v>1137112</v>
      </c>
      <c r="L12" s="5">
        <f t="shared" si="0"/>
        <v>669.43190661478604</v>
      </c>
      <c r="M12" s="4">
        <f t="shared" si="0"/>
        <v>2028.1943734015344</v>
      </c>
      <c r="N12" s="10">
        <f t="shared" si="2"/>
        <v>0.43389355177144701</v>
      </c>
    </row>
    <row r="13" spans="2:14" x14ac:dyDescent="0.3">
      <c r="B13" s="3">
        <v>45961</v>
      </c>
      <c r="C13" s="4">
        <v>3</v>
      </c>
      <c r="D13" s="4">
        <v>12</v>
      </c>
      <c r="E13" s="4">
        <v>-9</v>
      </c>
      <c r="F13" s="4">
        <v>514</v>
      </c>
      <c r="G13" s="4">
        <v>226</v>
      </c>
      <c r="H13" s="4">
        <v>2000</v>
      </c>
      <c r="I13" s="4">
        <v>343138</v>
      </c>
      <c r="J13" s="4">
        <v>497604</v>
      </c>
      <c r="K13" s="4">
        <f t="shared" si="1"/>
        <v>840742</v>
      </c>
      <c r="L13" s="5">
        <f t="shared" si="0"/>
        <v>667.5836575875486</v>
      </c>
      <c r="M13" s="4">
        <f t="shared" si="0"/>
        <v>2201.787610619469</v>
      </c>
      <c r="N13" s="10">
        <f t="shared" si="2"/>
        <v>0.68958046961037289</v>
      </c>
    </row>
    <row r="14" spans="2:14" x14ac:dyDescent="0.3">
      <c r="B14" s="3">
        <v>45991</v>
      </c>
      <c r="C14" s="4">
        <v>12</v>
      </c>
      <c r="D14" s="4">
        <v>20</v>
      </c>
      <c r="E14" s="4">
        <v>-8</v>
      </c>
      <c r="F14" s="4">
        <v>498</v>
      </c>
      <c r="G14" s="4">
        <v>315</v>
      </c>
      <c r="H14" s="4">
        <v>8800</v>
      </c>
      <c r="I14" s="4">
        <v>336288</v>
      </c>
      <c r="J14" s="4">
        <v>898135</v>
      </c>
      <c r="K14" s="4">
        <f t="shared" si="1"/>
        <v>1234423</v>
      </c>
      <c r="L14" s="5">
        <f t="shared" si="0"/>
        <v>675.27710843373495</v>
      </c>
      <c r="M14" s="4">
        <f t="shared" si="0"/>
        <v>2851.2222222222222</v>
      </c>
      <c r="N14" s="10">
        <f t="shared" si="2"/>
        <v>0.37442923391249644</v>
      </c>
    </row>
    <row r="15" spans="2:14" x14ac:dyDescent="0.3">
      <c r="B15" s="3">
        <v>46022</v>
      </c>
      <c r="C15" s="4">
        <v>21</v>
      </c>
      <c r="D15" s="4">
        <v>13</v>
      </c>
      <c r="E15" s="4">
        <v>8</v>
      </c>
      <c r="F15" s="4">
        <v>515</v>
      </c>
      <c r="G15" s="4">
        <v>398</v>
      </c>
      <c r="H15" s="4">
        <v>20149</v>
      </c>
      <c r="I15" s="4">
        <v>354887</v>
      </c>
      <c r="J15" s="4">
        <v>937257</v>
      </c>
      <c r="K15" s="4">
        <f t="shared" si="1"/>
        <v>1292144</v>
      </c>
      <c r="L15" s="5">
        <f t="shared" si="0"/>
        <v>689.10097087378642</v>
      </c>
      <c r="M15" s="4">
        <f t="shared" si="0"/>
        <v>2354.9170854271356</v>
      </c>
      <c r="N15" s="10">
        <f t="shared" si="2"/>
        <v>0.37864427793017286</v>
      </c>
    </row>
    <row r="16" spans="2:14" x14ac:dyDescent="0.3">
      <c r="B16" s="3">
        <v>46053</v>
      </c>
      <c r="C16" s="4">
        <v>3</v>
      </c>
      <c r="D16" s="4">
        <v>14</v>
      </c>
      <c r="E16" s="4">
        <v>-11</v>
      </c>
      <c r="F16" s="4">
        <v>504</v>
      </c>
      <c r="G16" s="4">
        <v>285</v>
      </c>
      <c r="H16" s="4">
        <v>2200</v>
      </c>
      <c r="I16" s="4">
        <v>346737</v>
      </c>
      <c r="J16" s="4">
        <v>823448</v>
      </c>
      <c r="K16" s="4">
        <f t="shared" si="1"/>
        <v>1170185</v>
      </c>
      <c r="L16" s="5">
        <f t="shared" si="0"/>
        <v>687.97023809523807</v>
      </c>
      <c r="M16" s="4">
        <f t="shared" si="0"/>
        <v>2889.2912280701753</v>
      </c>
      <c r="N16" s="10">
        <f t="shared" si="2"/>
        <v>0.42107941242191371</v>
      </c>
    </row>
    <row r="17" spans="2:14" x14ac:dyDescent="0.3">
      <c r="B17" s="3">
        <v>46081</v>
      </c>
      <c r="C17" s="4">
        <v>17</v>
      </c>
      <c r="D17" s="4">
        <v>13</v>
      </c>
      <c r="E17" s="4">
        <v>4</v>
      </c>
      <c r="F17" s="4">
        <v>438</v>
      </c>
      <c r="G17" s="4">
        <v>488</v>
      </c>
      <c r="H17" s="4">
        <v>19100</v>
      </c>
      <c r="I17" s="4">
        <v>356487</v>
      </c>
      <c r="J17" s="4">
        <v>1085456</v>
      </c>
      <c r="K17" s="4">
        <f t="shared" si="1"/>
        <v>1441943</v>
      </c>
      <c r="L17" s="5">
        <f t="shared" si="0"/>
        <v>813.89726027397262</v>
      </c>
      <c r="M17" s="4">
        <f t="shared" si="0"/>
        <v>2224.2950819672133</v>
      </c>
      <c r="N17" s="10">
        <f t="shared" si="2"/>
        <v>0.32842141920077828</v>
      </c>
    </row>
    <row r="18" spans="2:14" x14ac:dyDescent="0.3">
      <c r="B18" s="3">
        <v>46112</v>
      </c>
      <c r="C18" s="4">
        <v>7</v>
      </c>
      <c r="D18" s="4">
        <v>20</v>
      </c>
      <c r="E18" s="4">
        <v>-13</v>
      </c>
      <c r="F18" s="4">
        <v>535</v>
      </c>
      <c r="G18" s="4">
        <v>436</v>
      </c>
      <c r="H18" s="4">
        <v>108801</v>
      </c>
      <c r="I18" s="4">
        <v>457539</v>
      </c>
      <c r="J18" s="4">
        <v>832284</v>
      </c>
      <c r="K18" s="4">
        <f t="shared" si="1"/>
        <v>1289823</v>
      </c>
      <c r="L18" s="5">
        <f t="shared" si="0"/>
        <v>855.21308411214955</v>
      </c>
      <c r="M18" s="4">
        <f t="shared" si="0"/>
        <v>1908.9082568807339</v>
      </c>
      <c r="N18" s="10">
        <f t="shared" si="2"/>
        <v>0.54973903138832414</v>
      </c>
    </row>
    <row r="19" spans="2:14" x14ac:dyDescent="0.3">
      <c r="B19" s="3">
        <v>46142</v>
      </c>
      <c r="C19" s="4">
        <v>14</v>
      </c>
      <c r="D19" s="4">
        <v>21</v>
      </c>
      <c r="E19" s="4">
        <v>-7</v>
      </c>
      <c r="F19" s="4">
        <v>564</v>
      </c>
      <c r="G19" s="4">
        <v>496</v>
      </c>
      <c r="H19" s="4">
        <v>6450</v>
      </c>
      <c r="I19" s="4">
        <v>371238</v>
      </c>
      <c r="J19" s="4">
        <v>913254</v>
      </c>
      <c r="K19" s="4">
        <f t="shared" si="1"/>
        <v>1284492</v>
      </c>
      <c r="L19" s="5">
        <f t="shared" si="0"/>
        <v>658.22340425531911</v>
      </c>
      <c r="M19" s="4">
        <f t="shared" si="0"/>
        <v>1841.2379032258063</v>
      </c>
      <c r="N19" s="10">
        <f t="shared" si="2"/>
        <v>0.40650027265142008</v>
      </c>
    </row>
    <row r="20" spans="2:14" x14ac:dyDescent="0.3">
      <c r="B20" s="3">
        <v>46173</v>
      </c>
      <c r="C20" s="4">
        <v>42</v>
      </c>
      <c r="D20" s="4">
        <v>25</v>
      </c>
      <c r="E20" s="4">
        <v>17</v>
      </c>
      <c r="F20" s="4">
        <v>556</v>
      </c>
      <c r="G20" s="4">
        <v>445</v>
      </c>
      <c r="H20" s="4">
        <v>119801</v>
      </c>
      <c r="I20" s="4">
        <v>571138</v>
      </c>
      <c r="J20" s="4">
        <v>821058</v>
      </c>
      <c r="K20" s="4">
        <f t="shared" si="1"/>
        <v>1392196</v>
      </c>
      <c r="L20" s="5">
        <f>I20/F20</f>
        <v>1027.2266187050359</v>
      </c>
      <c r="M20" s="4">
        <f t="shared" si="0"/>
        <v>1845.0741573033708</v>
      </c>
      <c r="N20" s="10">
        <f t="shared" si="2"/>
        <v>0.69561224663787458</v>
      </c>
    </row>
    <row r="21" spans="2:14" ht="15.6" x14ac:dyDescent="0.3">
      <c r="B21" s="6" t="s">
        <v>12</v>
      </c>
      <c r="C21" s="7">
        <v>251</v>
      </c>
      <c r="D21" s="7">
        <v>289</v>
      </c>
      <c r="E21" s="7">
        <v>-38</v>
      </c>
      <c r="F21" s="7">
        <v>8883</v>
      </c>
      <c r="G21" s="7">
        <v>6200</v>
      </c>
      <c r="H21" s="7">
        <v>415184</v>
      </c>
      <c r="I21" s="7">
        <v>6174135</v>
      </c>
      <c r="J21" s="7">
        <v>13819271</v>
      </c>
      <c r="K21" s="7">
        <f>SUM(K4:K20)</f>
        <v>19993406</v>
      </c>
      <c r="L21" s="8">
        <f>I21/F21</f>
        <v>695.05065856129681</v>
      </c>
      <c r="M21" s="7">
        <f>J21/G21</f>
        <v>2228.914677419355</v>
      </c>
      <c r="N21" s="11">
        <f t="shared" si="2"/>
        <v>0.44677718527988924</v>
      </c>
    </row>
    <row r="22" spans="2:14" ht="15.6" x14ac:dyDescent="0.3">
      <c r="B22" s="6"/>
      <c r="C22" s="6"/>
      <c r="D22" s="6"/>
      <c r="E22" s="6"/>
      <c r="F22" s="6"/>
      <c r="G22" s="6"/>
      <c r="H22" s="6"/>
      <c r="I22" s="6"/>
      <c r="J22" s="6"/>
      <c r="K22" s="6"/>
      <c r="L22" s="8"/>
    </row>
    <row r="23" spans="2:14" x14ac:dyDescent="0.3">
      <c r="L23" s="5"/>
    </row>
    <row r="24" spans="2:14" ht="23.4" x14ac:dyDescent="0.45">
      <c r="B24" s="1" t="s">
        <v>13</v>
      </c>
    </row>
    <row r="25" spans="2:14" ht="72" x14ac:dyDescent="0.3"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2" t="s">
        <v>8</v>
      </c>
      <c r="J25" s="2" t="s">
        <v>9</v>
      </c>
      <c r="K25" s="2" t="s">
        <v>10</v>
      </c>
      <c r="L25" s="2" t="s">
        <v>11</v>
      </c>
      <c r="M25" s="2" t="s">
        <v>21</v>
      </c>
      <c r="N25" s="2" t="s">
        <v>22</v>
      </c>
    </row>
    <row r="26" spans="2:14" x14ac:dyDescent="0.3">
      <c r="B26" s="3">
        <v>45688</v>
      </c>
      <c r="C26" s="4">
        <v>13</v>
      </c>
      <c r="D26" s="4">
        <v>6</v>
      </c>
      <c r="E26" s="4">
        <v>7</v>
      </c>
      <c r="F26" s="4">
        <v>140</v>
      </c>
      <c r="G26" s="4">
        <v>72</v>
      </c>
      <c r="H26" s="4">
        <v>3901</v>
      </c>
      <c r="I26" s="4">
        <v>95236</v>
      </c>
      <c r="J26" s="4">
        <v>159795</v>
      </c>
      <c r="K26" s="4">
        <f>I26+J26</f>
        <v>255031</v>
      </c>
      <c r="L26" s="5">
        <f t="shared" ref="L26:M43" si="3">I26/F26</f>
        <v>680.25714285714287</v>
      </c>
      <c r="M26" s="4">
        <f>J26/G26</f>
        <v>2219.375</v>
      </c>
      <c r="N26" s="10">
        <f>I26/J26</f>
        <v>0.59598861040708406</v>
      </c>
    </row>
    <row r="27" spans="2:14" x14ac:dyDescent="0.3">
      <c r="B27" s="3">
        <v>45716</v>
      </c>
      <c r="C27" s="4">
        <v>0</v>
      </c>
      <c r="D27" s="4">
        <v>8</v>
      </c>
      <c r="E27" s="4">
        <v>-8</v>
      </c>
      <c r="F27" s="4">
        <v>120</v>
      </c>
      <c r="G27" s="4">
        <v>2</v>
      </c>
      <c r="H27" s="4">
        <v>0</v>
      </c>
      <c r="I27" s="4">
        <v>88411</v>
      </c>
      <c r="J27" s="4">
        <v>1100</v>
      </c>
      <c r="K27" s="4">
        <f t="shared" ref="K27:K42" si="4">I27+J27</f>
        <v>89511</v>
      </c>
      <c r="L27" s="5">
        <f t="shared" si="3"/>
        <v>736.75833333333333</v>
      </c>
      <c r="M27" s="4">
        <f t="shared" si="3"/>
        <v>550</v>
      </c>
      <c r="N27" s="10">
        <f t="shared" ref="N27:N43" si="5">I27/J27</f>
        <v>80.373636363636365</v>
      </c>
    </row>
    <row r="28" spans="2:14" x14ac:dyDescent="0.3">
      <c r="B28" s="3">
        <v>45747</v>
      </c>
      <c r="C28" s="4">
        <v>0</v>
      </c>
      <c r="D28" s="4">
        <v>4</v>
      </c>
      <c r="E28" s="4">
        <v>-4</v>
      </c>
      <c r="F28" s="4">
        <v>122</v>
      </c>
      <c r="G28" s="4">
        <v>0</v>
      </c>
      <c r="H28" s="4">
        <v>0</v>
      </c>
      <c r="I28" s="4">
        <v>86211</v>
      </c>
      <c r="J28" s="4">
        <v>0</v>
      </c>
      <c r="K28" s="4">
        <f t="shared" si="4"/>
        <v>86211</v>
      </c>
      <c r="L28" s="5">
        <f t="shared" si="3"/>
        <v>706.64754098360652</v>
      </c>
      <c r="M28" s="4" t="e">
        <f t="shared" si="3"/>
        <v>#DIV/0!</v>
      </c>
      <c r="N28" s="10" t="e">
        <f t="shared" si="5"/>
        <v>#DIV/0!</v>
      </c>
    </row>
    <row r="29" spans="2:14" x14ac:dyDescent="0.3">
      <c r="B29" s="3">
        <v>45777</v>
      </c>
      <c r="C29" s="4">
        <v>0</v>
      </c>
      <c r="D29" s="4">
        <v>1</v>
      </c>
      <c r="E29" s="4">
        <v>-1</v>
      </c>
      <c r="F29" s="4">
        <v>118</v>
      </c>
      <c r="G29" s="4">
        <v>1</v>
      </c>
      <c r="H29" s="4">
        <v>0</v>
      </c>
      <c r="I29" s="4">
        <v>75011</v>
      </c>
      <c r="J29" s="4">
        <v>300</v>
      </c>
      <c r="K29" s="4">
        <f t="shared" si="4"/>
        <v>75311</v>
      </c>
      <c r="L29" s="5">
        <f t="shared" si="3"/>
        <v>635.68644067796606</v>
      </c>
      <c r="M29" s="4">
        <f t="shared" si="3"/>
        <v>300</v>
      </c>
      <c r="N29" s="10">
        <f t="shared" si="5"/>
        <v>250.03666666666666</v>
      </c>
    </row>
    <row r="30" spans="2:14" x14ac:dyDescent="0.3">
      <c r="B30" s="3">
        <v>45808</v>
      </c>
      <c r="C30" s="4">
        <v>0</v>
      </c>
      <c r="D30" s="4">
        <v>3</v>
      </c>
      <c r="E30" s="4">
        <v>-3</v>
      </c>
      <c r="F30" s="4">
        <v>118</v>
      </c>
      <c r="G30" s="4">
        <v>2</v>
      </c>
      <c r="H30" s="4">
        <v>0</v>
      </c>
      <c r="I30" s="4">
        <v>80711</v>
      </c>
      <c r="J30" s="4">
        <v>500</v>
      </c>
      <c r="K30" s="4">
        <f t="shared" si="4"/>
        <v>81211</v>
      </c>
      <c r="L30" s="5">
        <f t="shared" si="3"/>
        <v>683.99152542372883</v>
      </c>
      <c r="M30" s="4">
        <f t="shared" si="3"/>
        <v>250</v>
      </c>
      <c r="N30" s="10">
        <f t="shared" si="5"/>
        <v>161.422</v>
      </c>
    </row>
    <row r="31" spans="2:14" x14ac:dyDescent="0.3">
      <c r="B31" s="3">
        <v>45838</v>
      </c>
      <c r="C31" s="4">
        <v>12</v>
      </c>
      <c r="D31" s="4">
        <v>5</v>
      </c>
      <c r="E31" s="4">
        <v>7</v>
      </c>
      <c r="F31" s="4">
        <v>122</v>
      </c>
      <c r="G31" s="4">
        <v>68</v>
      </c>
      <c r="H31" s="4">
        <v>4950</v>
      </c>
      <c r="I31" s="4">
        <v>87551</v>
      </c>
      <c r="J31" s="4">
        <v>102615</v>
      </c>
      <c r="K31" s="4">
        <f t="shared" si="4"/>
        <v>190166</v>
      </c>
      <c r="L31" s="5">
        <f t="shared" si="3"/>
        <v>717.63114754098365</v>
      </c>
      <c r="M31" s="4">
        <f t="shared" si="3"/>
        <v>1509.0441176470588</v>
      </c>
      <c r="N31" s="10">
        <f t="shared" si="5"/>
        <v>0.85319885007065244</v>
      </c>
    </row>
    <row r="32" spans="2:14" x14ac:dyDescent="0.3">
      <c r="B32" s="3">
        <v>45869</v>
      </c>
      <c r="C32" s="4">
        <v>0</v>
      </c>
      <c r="D32" s="4">
        <v>9</v>
      </c>
      <c r="E32" s="4">
        <v>-9</v>
      </c>
      <c r="F32" s="4">
        <v>116</v>
      </c>
      <c r="G32" s="4">
        <v>2</v>
      </c>
      <c r="H32" s="4">
        <v>0</v>
      </c>
      <c r="I32" s="4">
        <v>73201</v>
      </c>
      <c r="J32" s="4">
        <v>200</v>
      </c>
      <c r="K32" s="4">
        <f t="shared" si="4"/>
        <v>73401</v>
      </c>
      <c r="L32" s="5">
        <f t="shared" si="3"/>
        <v>631.04310344827582</v>
      </c>
      <c r="M32" s="4">
        <f t="shared" si="3"/>
        <v>100</v>
      </c>
      <c r="N32" s="10">
        <f t="shared" si="5"/>
        <v>366.005</v>
      </c>
    </row>
    <row r="33" spans="2:14" x14ac:dyDescent="0.3">
      <c r="B33" s="3">
        <v>45900</v>
      </c>
      <c r="C33" s="4">
        <v>5</v>
      </c>
      <c r="D33" s="4">
        <v>4</v>
      </c>
      <c r="E33" s="4">
        <v>1</v>
      </c>
      <c r="F33" s="4">
        <v>115</v>
      </c>
      <c r="G33" s="4">
        <v>35</v>
      </c>
      <c r="H33" s="4">
        <v>2250</v>
      </c>
      <c r="I33" s="4">
        <v>74301</v>
      </c>
      <c r="J33" s="4">
        <v>239650</v>
      </c>
      <c r="K33" s="4">
        <f t="shared" si="4"/>
        <v>313951</v>
      </c>
      <c r="L33" s="5">
        <f t="shared" si="3"/>
        <v>646.09565217391309</v>
      </c>
      <c r="M33" s="4">
        <f t="shared" si="3"/>
        <v>6847.1428571428569</v>
      </c>
      <c r="N33" s="10">
        <f t="shared" si="5"/>
        <v>0.31003964114333404</v>
      </c>
    </row>
    <row r="34" spans="2:14" x14ac:dyDescent="0.3">
      <c r="B34" s="3">
        <v>45930</v>
      </c>
      <c r="C34" s="4">
        <v>2</v>
      </c>
      <c r="D34" s="4">
        <v>7</v>
      </c>
      <c r="E34" s="4">
        <v>-5</v>
      </c>
      <c r="F34" s="4">
        <v>110</v>
      </c>
      <c r="G34" s="4">
        <v>10</v>
      </c>
      <c r="H34" s="4">
        <v>1500</v>
      </c>
      <c r="I34" s="4">
        <v>70851</v>
      </c>
      <c r="J34" s="4">
        <v>42700</v>
      </c>
      <c r="K34" s="4">
        <f t="shared" si="4"/>
        <v>113551</v>
      </c>
      <c r="L34" s="5">
        <f t="shared" si="3"/>
        <v>644.1</v>
      </c>
      <c r="M34" s="4">
        <f t="shared" si="3"/>
        <v>4270</v>
      </c>
      <c r="N34" s="10">
        <f t="shared" si="5"/>
        <v>1.6592740046838408</v>
      </c>
    </row>
    <row r="35" spans="2:14" x14ac:dyDescent="0.3">
      <c r="B35" s="3">
        <v>45961</v>
      </c>
      <c r="C35" s="4">
        <v>3</v>
      </c>
      <c r="D35" s="4">
        <v>7</v>
      </c>
      <c r="E35" s="4">
        <v>-4</v>
      </c>
      <c r="F35" s="4">
        <v>108</v>
      </c>
      <c r="G35" s="4">
        <v>12</v>
      </c>
      <c r="H35" s="4">
        <v>800</v>
      </c>
      <c r="I35" s="4">
        <v>66351</v>
      </c>
      <c r="J35" s="4">
        <v>6770</v>
      </c>
      <c r="K35" s="4">
        <f t="shared" si="4"/>
        <v>73121</v>
      </c>
      <c r="L35" s="5">
        <f t="shared" si="3"/>
        <v>614.36111111111109</v>
      </c>
      <c r="M35" s="4">
        <f t="shared" si="3"/>
        <v>564.16666666666663</v>
      </c>
      <c r="N35" s="10">
        <f t="shared" si="5"/>
        <v>9.8007385524372239</v>
      </c>
    </row>
    <row r="36" spans="2:14" x14ac:dyDescent="0.3">
      <c r="B36" s="3">
        <v>45991</v>
      </c>
      <c r="C36" s="4">
        <v>0</v>
      </c>
      <c r="D36" s="4">
        <v>1</v>
      </c>
      <c r="E36" s="4">
        <v>-1</v>
      </c>
      <c r="F36" s="4">
        <v>103</v>
      </c>
      <c r="G36" s="4">
        <v>1</v>
      </c>
      <c r="H36" s="4">
        <v>0</v>
      </c>
      <c r="I36" s="4">
        <v>64101</v>
      </c>
      <c r="J36" s="4">
        <v>300</v>
      </c>
      <c r="K36" s="4">
        <f t="shared" si="4"/>
        <v>64401</v>
      </c>
      <c r="L36" s="5">
        <f t="shared" si="3"/>
        <v>622.33980582524271</v>
      </c>
      <c r="M36" s="4">
        <f t="shared" si="3"/>
        <v>300</v>
      </c>
      <c r="N36" s="10">
        <f t="shared" si="5"/>
        <v>213.67</v>
      </c>
    </row>
    <row r="37" spans="2:14" x14ac:dyDescent="0.3">
      <c r="B37" s="3">
        <v>46022</v>
      </c>
      <c r="C37" s="4">
        <v>0</v>
      </c>
      <c r="D37" s="4">
        <v>4</v>
      </c>
      <c r="E37" s="4">
        <v>-4</v>
      </c>
      <c r="F37" s="4">
        <v>101</v>
      </c>
      <c r="G37" s="4">
        <v>0</v>
      </c>
      <c r="H37" s="4">
        <v>0</v>
      </c>
      <c r="I37" s="4">
        <v>53501</v>
      </c>
      <c r="J37" s="4">
        <v>0</v>
      </c>
      <c r="K37" s="4">
        <f t="shared" si="4"/>
        <v>53501</v>
      </c>
      <c r="L37" s="5">
        <f t="shared" si="3"/>
        <v>529.71287128712868</v>
      </c>
      <c r="M37" s="4" t="e">
        <f t="shared" si="3"/>
        <v>#DIV/0!</v>
      </c>
      <c r="N37" s="10" t="e">
        <f t="shared" si="5"/>
        <v>#DIV/0!</v>
      </c>
    </row>
    <row r="38" spans="2:14" x14ac:dyDescent="0.3">
      <c r="B38" s="3">
        <v>46053</v>
      </c>
      <c r="C38" s="4">
        <v>0</v>
      </c>
      <c r="D38" s="4">
        <v>2</v>
      </c>
      <c r="E38" s="4">
        <v>-2</v>
      </c>
      <c r="F38" s="4">
        <v>100</v>
      </c>
      <c r="G38" s="4">
        <v>0</v>
      </c>
      <c r="H38" s="4">
        <v>0</v>
      </c>
      <c r="I38" s="4">
        <v>52501</v>
      </c>
      <c r="J38" s="4">
        <v>0</v>
      </c>
      <c r="K38" s="4">
        <f t="shared" si="4"/>
        <v>52501</v>
      </c>
      <c r="L38" s="5">
        <f t="shared" si="3"/>
        <v>525.01</v>
      </c>
      <c r="M38" s="4" t="e">
        <f t="shared" si="3"/>
        <v>#DIV/0!</v>
      </c>
      <c r="N38" s="10" t="e">
        <f t="shared" si="5"/>
        <v>#DIV/0!</v>
      </c>
    </row>
    <row r="39" spans="2:14" x14ac:dyDescent="0.3">
      <c r="B39" s="3">
        <v>46081</v>
      </c>
      <c r="C39" s="4">
        <v>0</v>
      </c>
      <c r="D39" s="4">
        <v>4</v>
      </c>
      <c r="E39" s="4">
        <v>-4</v>
      </c>
      <c r="F39" s="4">
        <v>72</v>
      </c>
      <c r="G39" s="4">
        <v>1</v>
      </c>
      <c r="H39" s="4">
        <v>0</v>
      </c>
      <c r="I39" s="4">
        <v>49401</v>
      </c>
      <c r="J39" s="4">
        <v>3000</v>
      </c>
      <c r="K39" s="4">
        <f t="shared" si="4"/>
        <v>52401</v>
      </c>
      <c r="L39" s="5">
        <f t="shared" si="3"/>
        <v>686.125</v>
      </c>
      <c r="M39" s="4">
        <f t="shared" si="3"/>
        <v>3000</v>
      </c>
      <c r="N39" s="10">
        <f t="shared" si="5"/>
        <v>16.466999999999999</v>
      </c>
    </row>
    <row r="40" spans="2:14" x14ac:dyDescent="0.3">
      <c r="B40" s="3">
        <v>46112</v>
      </c>
      <c r="C40" s="4">
        <v>2</v>
      </c>
      <c r="D40" s="4">
        <v>4</v>
      </c>
      <c r="E40" s="4">
        <v>-2</v>
      </c>
      <c r="F40" s="4">
        <v>96</v>
      </c>
      <c r="G40" s="4">
        <v>54</v>
      </c>
      <c r="H40" s="4">
        <v>2002</v>
      </c>
      <c r="I40" s="4">
        <v>51803</v>
      </c>
      <c r="J40" s="4">
        <v>88432</v>
      </c>
      <c r="K40" s="4">
        <f t="shared" si="4"/>
        <v>140235</v>
      </c>
      <c r="L40" s="5">
        <f t="shared" si="3"/>
        <v>539.61458333333337</v>
      </c>
      <c r="M40" s="4">
        <f t="shared" si="3"/>
        <v>1637.6296296296296</v>
      </c>
      <c r="N40" s="10">
        <f t="shared" si="5"/>
        <v>0.58579473493757916</v>
      </c>
    </row>
    <row r="41" spans="2:14" x14ac:dyDescent="0.3">
      <c r="B41" s="3">
        <v>46142</v>
      </c>
      <c r="C41" s="4">
        <v>0</v>
      </c>
      <c r="D41" s="4">
        <v>5</v>
      </c>
      <c r="E41" s="4">
        <v>-5</v>
      </c>
      <c r="F41" s="4">
        <v>96</v>
      </c>
      <c r="G41" s="4">
        <v>12</v>
      </c>
      <c r="H41" s="4">
        <v>0</v>
      </c>
      <c r="I41" s="4">
        <v>51903</v>
      </c>
      <c r="J41" s="4">
        <v>6500</v>
      </c>
      <c r="K41" s="4">
        <f t="shared" si="4"/>
        <v>58403</v>
      </c>
      <c r="L41" s="5">
        <f t="shared" si="3"/>
        <v>540.65625</v>
      </c>
      <c r="M41" s="4">
        <f t="shared" si="3"/>
        <v>541.66666666666663</v>
      </c>
      <c r="N41" s="10">
        <f t="shared" si="5"/>
        <v>7.9850769230769227</v>
      </c>
    </row>
    <row r="42" spans="2:14" x14ac:dyDescent="0.3">
      <c r="B42" s="3">
        <v>46173</v>
      </c>
      <c r="C42" s="4">
        <v>0</v>
      </c>
      <c r="D42" s="4">
        <v>10</v>
      </c>
      <c r="E42" s="4">
        <v>-10</v>
      </c>
      <c r="F42" s="4">
        <v>87</v>
      </c>
      <c r="G42" s="4">
        <v>92</v>
      </c>
      <c r="H42" s="4">
        <v>0</v>
      </c>
      <c r="I42" s="4">
        <v>47853</v>
      </c>
      <c r="J42" s="4">
        <v>94917</v>
      </c>
      <c r="K42" s="4">
        <f t="shared" si="4"/>
        <v>142770</v>
      </c>
      <c r="L42" s="5">
        <f t="shared" si="3"/>
        <v>550.0344827586207</v>
      </c>
      <c r="M42" s="4">
        <f t="shared" si="3"/>
        <v>1031.7065217391305</v>
      </c>
      <c r="N42" s="10">
        <f t="shared" si="5"/>
        <v>0.50415626284016557</v>
      </c>
    </row>
    <row r="43" spans="2:14" ht="15.6" x14ac:dyDescent="0.3">
      <c r="B43" s="6" t="s">
        <v>12</v>
      </c>
      <c r="C43" s="7">
        <v>37</v>
      </c>
      <c r="D43" s="7">
        <v>84</v>
      </c>
      <c r="E43" s="7">
        <v>-47</v>
      </c>
      <c r="F43" s="7">
        <v>1844</v>
      </c>
      <c r="G43" s="7">
        <v>364</v>
      </c>
      <c r="H43" s="7">
        <v>15403</v>
      </c>
      <c r="I43" s="7">
        <v>1168898</v>
      </c>
      <c r="J43" s="7">
        <v>746779</v>
      </c>
      <c r="K43" s="7">
        <f>SUM(K26:K42)</f>
        <v>1915677</v>
      </c>
      <c r="L43" s="8">
        <f t="shared" si="3"/>
        <v>633.89262472885036</v>
      </c>
      <c r="M43" s="7">
        <f t="shared" si="3"/>
        <v>2051.5906593406594</v>
      </c>
      <c r="N43" s="11">
        <f t="shared" si="5"/>
        <v>1.5652529061476019</v>
      </c>
    </row>
    <row r="46" spans="2:14" ht="23.4" x14ac:dyDescent="0.45">
      <c r="B46" s="1" t="s">
        <v>14</v>
      </c>
    </row>
    <row r="47" spans="2:14" ht="72" x14ac:dyDescent="0.3"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  <c r="K47" s="2" t="s">
        <v>10</v>
      </c>
      <c r="L47" s="2" t="s">
        <v>11</v>
      </c>
      <c r="M47" s="2" t="s">
        <v>21</v>
      </c>
      <c r="N47" s="2" t="s">
        <v>22</v>
      </c>
    </row>
    <row r="48" spans="2:14" x14ac:dyDescent="0.3">
      <c r="B48" s="3">
        <v>45688</v>
      </c>
      <c r="C48" s="4">
        <v>16</v>
      </c>
      <c r="D48" s="4">
        <v>8</v>
      </c>
      <c r="E48" s="4">
        <v>8</v>
      </c>
      <c r="F48" s="4">
        <v>111</v>
      </c>
      <c r="G48" s="4">
        <v>61</v>
      </c>
      <c r="H48" s="4">
        <v>20800</v>
      </c>
      <c r="I48" s="4">
        <v>112800</v>
      </c>
      <c r="J48" s="4">
        <v>56771</v>
      </c>
      <c r="K48" s="4">
        <f>I48+J48</f>
        <v>169571</v>
      </c>
      <c r="L48" s="5">
        <f t="shared" ref="L48:M65" si="6">I48/F48</f>
        <v>1016.2162162162163</v>
      </c>
      <c r="M48" s="4">
        <f>J48/G48</f>
        <v>930.67213114754099</v>
      </c>
      <c r="N48" s="10">
        <f>I48/J48</f>
        <v>1.9869299466276795</v>
      </c>
    </row>
    <row r="49" spans="2:14" x14ac:dyDescent="0.3">
      <c r="B49" s="3">
        <v>45716</v>
      </c>
      <c r="C49" s="4">
        <v>2</v>
      </c>
      <c r="D49" s="4">
        <v>4</v>
      </c>
      <c r="E49" s="4">
        <v>-2</v>
      </c>
      <c r="F49" s="4">
        <v>110</v>
      </c>
      <c r="G49" s="4">
        <v>3</v>
      </c>
      <c r="H49" s="4">
        <v>600</v>
      </c>
      <c r="I49" s="4">
        <v>128800</v>
      </c>
      <c r="J49" s="4">
        <v>1100</v>
      </c>
      <c r="K49" s="4">
        <f t="shared" ref="K49:K64" si="7">I49+J49</f>
        <v>129900</v>
      </c>
      <c r="L49" s="5">
        <f t="shared" si="6"/>
        <v>1170.909090909091</v>
      </c>
      <c r="M49" s="4">
        <f t="shared" si="6"/>
        <v>366.66666666666669</v>
      </c>
      <c r="N49" s="10">
        <f t="shared" ref="N49:N65" si="8">I49/J49</f>
        <v>117.09090909090909</v>
      </c>
    </row>
    <row r="50" spans="2:14" x14ac:dyDescent="0.3">
      <c r="B50" s="3">
        <v>45747</v>
      </c>
      <c r="C50" s="4">
        <v>29</v>
      </c>
      <c r="D50" s="4">
        <v>9</v>
      </c>
      <c r="E50" s="4">
        <v>20</v>
      </c>
      <c r="F50" s="4">
        <v>131</v>
      </c>
      <c r="G50" s="4">
        <v>114</v>
      </c>
      <c r="H50" s="4">
        <v>14550</v>
      </c>
      <c r="I50" s="4">
        <v>138400</v>
      </c>
      <c r="J50" s="4">
        <v>300351</v>
      </c>
      <c r="K50" s="4">
        <f t="shared" si="7"/>
        <v>438751</v>
      </c>
      <c r="L50" s="5">
        <f t="shared" si="6"/>
        <v>1056.4885496183206</v>
      </c>
      <c r="M50" s="4">
        <f t="shared" si="6"/>
        <v>2634.6578947368421</v>
      </c>
      <c r="N50" s="10">
        <f t="shared" si="8"/>
        <v>0.46079420411451932</v>
      </c>
    </row>
    <row r="51" spans="2:14" x14ac:dyDescent="0.3">
      <c r="B51" s="3">
        <v>45777</v>
      </c>
      <c r="C51" s="4">
        <v>4</v>
      </c>
      <c r="D51" s="4">
        <v>14</v>
      </c>
      <c r="E51" s="4">
        <v>-10</v>
      </c>
      <c r="F51" s="4">
        <v>124</v>
      </c>
      <c r="G51" s="4">
        <v>18</v>
      </c>
      <c r="H51" s="4">
        <v>2300</v>
      </c>
      <c r="I51" s="4">
        <v>122400</v>
      </c>
      <c r="J51" s="4">
        <v>6550</v>
      </c>
      <c r="K51" s="4">
        <f t="shared" si="7"/>
        <v>128950</v>
      </c>
      <c r="L51" s="5">
        <f t="shared" si="6"/>
        <v>987.09677419354841</v>
      </c>
      <c r="M51" s="4">
        <f t="shared" si="6"/>
        <v>363.88888888888891</v>
      </c>
      <c r="N51" s="10">
        <f t="shared" si="8"/>
        <v>18.68702290076336</v>
      </c>
    </row>
    <row r="52" spans="2:14" x14ac:dyDescent="0.3">
      <c r="B52" s="3">
        <v>45808</v>
      </c>
      <c r="C52" s="4">
        <v>13</v>
      </c>
      <c r="D52" s="4">
        <v>4</v>
      </c>
      <c r="E52" s="4">
        <v>9</v>
      </c>
      <c r="F52" s="4">
        <v>128</v>
      </c>
      <c r="G52" s="4">
        <v>53</v>
      </c>
      <c r="H52" s="4">
        <v>5250</v>
      </c>
      <c r="I52" s="4">
        <v>123550</v>
      </c>
      <c r="J52" s="4">
        <v>28930</v>
      </c>
      <c r="K52" s="4">
        <f t="shared" si="7"/>
        <v>152480</v>
      </c>
      <c r="L52" s="5">
        <f t="shared" si="6"/>
        <v>965.234375</v>
      </c>
      <c r="M52" s="4">
        <f t="shared" si="6"/>
        <v>545.84905660377353</v>
      </c>
      <c r="N52" s="10">
        <f t="shared" si="8"/>
        <v>4.2706533010715519</v>
      </c>
    </row>
    <row r="53" spans="2:14" x14ac:dyDescent="0.3">
      <c r="B53" s="3">
        <v>45838</v>
      </c>
      <c r="C53" s="4">
        <v>12</v>
      </c>
      <c r="D53" s="4">
        <v>6</v>
      </c>
      <c r="E53" s="4">
        <v>6</v>
      </c>
      <c r="F53" s="4">
        <v>137</v>
      </c>
      <c r="G53" s="4">
        <v>41</v>
      </c>
      <c r="H53" s="4">
        <v>8650</v>
      </c>
      <c r="I53" s="4">
        <v>136300</v>
      </c>
      <c r="J53" s="4">
        <v>29911</v>
      </c>
      <c r="K53" s="4">
        <f t="shared" si="7"/>
        <v>166211</v>
      </c>
      <c r="L53" s="5">
        <f t="shared" si="6"/>
        <v>994.8905109489051</v>
      </c>
      <c r="M53" s="4">
        <f t="shared" si="6"/>
        <v>729.53658536585363</v>
      </c>
      <c r="N53" s="10">
        <f t="shared" si="8"/>
        <v>4.5568519942496071</v>
      </c>
    </row>
    <row r="54" spans="2:14" x14ac:dyDescent="0.3">
      <c r="B54" s="3">
        <v>45869</v>
      </c>
      <c r="C54" s="4">
        <v>9</v>
      </c>
      <c r="D54" s="4">
        <v>1</v>
      </c>
      <c r="E54" s="4">
        <v>8</v>
      </c>
      <c r="F54" s="4">
        <v>138</v>
      </c>
      <c r="G54" s="4">
        <v>23</v>
      </c>
      <c r="H54" s="4">
        <v>3200</v>
      </c>
      <c r="I54" s="4">
        <v>128900</v>
      </c>
      <c r="J54" s="4">
        <v>11175</v>
      </c>
      <c r="K54" s="4">
        <f t="shared" si="7"/>
        <v>140075</v>
      </c>
      <c r="L54" s="5">
        <f t="shared" si="6"/>
        <v>934.05797101449275</v>
      </c>
      <c r="M54" s="4">
        <f t="shared" si="6"/>
        <v>485.86956521739131</v>
      </c>
      <c r="N54" s="10">
        <f t="shared" si="8"/>
        <v>11.534675615212528</v>
      </c>
    </row>
    <row r="55" spans="2:14" x14ac:dyDescent="0.3">
      <c r="B55" s="3">
        <v>45900</v>
      </c>
      <c r="C55" s="4">
        <v>7</v>
      </c>
      <c r="D55" s="4">
        <v>9</v>
      </c>
      <c r="E55" s="4">
        <v>-2</v>
      </c>
      <c r="F55" s="4">
        <v>139</v>
      </c>
      <c r="G55" s="4">
        <v>34</v>
      </c>
      <c r="H55" s="4">
        <v>4750</v>
      </c>
      <c r="I55" s="4">
        <v>129250</v>
      </c>
      <c r="J55" s="4">
        <v>16001</v>
      </c>
      <c r="K55" s="4">
        <f t="shared" si="7"/>
        <v>145251</v>
      </c>
      <c r="L55" s="5">
        <f t="shared" si="6"/>
        <v>929.85611510791364</v>
      </c>
      <c r="M55" s="4">
        <f t="shared" si="6"/>
        <v>470.61764705882354</v>
      </c>
      <c r="N55" s="10">
        <f t="shared" si="8"/>
        <v>8.0776201487407029</v>
      </c>
    </row>
    <row r="56" spans="2:14" x14ac:dyDescent="0.3">
      <c r="B56" s="3">
        <v>45930</v>
      </c>
      <c r="C56" s="4">
        <v>0</v>
      </c>
      <c r="D56" s="4">
        <v>7</v>
      </c>
      <c r="E56" s="4">
        <v>-7</v>
      </c>
      <c r="F56" s="4">
        <v>132</v>
      </c>
      <c r="G56" s="4">
        <v>2</v>
      </c>
      <c r="H56" s="4">
        <v>0</v>
      </c>
      <c r="I56" s="4">
        <v>123200</v>
      </c>
      <c r="J56" s="4">
        <v>2000</v>
      </c>
      <c r="K56" s="4">
        <f t="shared" si="7"/>
        <v>125200</v>
      </c>
      <c r="L56" s="5">
        <f t="shared" si="6"/>
        <v>933.33333333333337</v>
      </c>
      <c r="M56" s="4">
        <f t="shared" si="6"/>
        <v>1000</v>
      </c>
      <c r="N56" s="10">
        <f t="shared" si="8"/>
        <v>61.6</v>
      </c>
    </row>
    <row r="57" spans="2:14" x14ac:dyDescent="0.3">
      <c r="B57" s="3">
        <v>45961</v>
      </c>
      <c r="C57" s="4">
        <v>3</v>
      </c>
      <c r="D57" s="4">
        <v>2</v>
      </c>
      <c r="E57" s="4">
        <v>1</v>
      </c>
      <c r="F57" s="4">
        <v>132</v>
      </c>
      <c r="G57" s="4">
        <v>27</v>
      </c>
      <c r="H57" s="4">
        <v>2050</v>
      </c>
      <c r="I57" s="4">
        <v>123300</v>
      </c>
      <c r="J57" s="4">
        <v>27600</v>
      </c>
      <c r="K57" s="4">
        <f t="shared" si="7"/>
        <v>150900</v>
      </c>
      <c r="L57" s="5">
        <f t="shared" si="6"/>
        <v>934.09090909090912</v>
      </c>
      <c r="M57" s="4">
        <f t="shared" si="6"/>
        <v>1022.2222222222222</v>
      </c>
      <c r="N57" s="10">
        <f t="shared" si="8"/>
        <v>4.4673913043478262</v>
      </c>
    </row>
    <row r="58" spans="2:14" x14ac:dyDescent="0.3">
      <c r="B58" s="3">
        <v>45991</v>
      </c>
      <c r="C58" s="4">
        <v>17</v>
      </c>
      <c r="D58" s="4">
        <v>7</v>
      </c>
      <c r="E58" s="4">
        <v>10</v>
      </c>
      <c r="F58" s="4">
        <v>141</v>
      </c>
      <c r="G58" s="4">
        <v>43</v>
      </c>
      <c r="H58" s="4">
        <v>10850</v>
      </c>
      <c r="I58" s="4">
        <v>128800</v>
      </c>
      <c r="J58" s="4">
        <v>93202</v>
      </c>
      <c r="K58" s="4">
        <f t="shared" si="7"/>
        <v>222002</v>
      </c>
      <c r="L58" s="5">
        <f t="shared" si="6"/>
        <v>913.47517730496452</v>
      </c>
      <c r="M58" s="4">
        <f t="shared" si="6"/>
        <v>2167.4883720930234</v>
      </c>
      <c r="N58" s="10">
        <f t="shared" si="8"/>
        <v>1.3819445934636596</v>
      </c>
    </row>
    <row r="59" spans="2:14" x14ac:dyDescent="0.3">
      <c r="B59" s="3">
        <v>46022</v>
      </c>
      <c r="C59" s="4">
        <v>2</v>
      </c>
      <c r="D59" s="4">
        <v>6</v>
      </c>
      <c r="E59" s="4">
        <v>-4</v>
      </c>
      <c r="F59" s="4">
        <v>138</v>
      </c>
      <c r="G59" s="4">
        <v>7</v>
      </c>
      <c r="H59" s="4">
        <v>800</v>
      </c>
      <c r="I59" s="4">
        <v>126950</v>
      </c>
      <c r="J59" s="4">
        <v>5100</v>
      </c>
      <c r="K59" s="4">
        <f t="shared" si="7"/>
        <v>132050</v>
      </c>
      <c r="L59" s="5">
        <f t="shared" si="6"/>
        <v>919.92753623188401</v>
      </c>
      <c r="M59" s="4">
        <f t="shared" si="6"/>
        <v>728.57142857142856</v>
      </c>
      <c r="N59" s="10">
        <f t="shared" si="8"/>
        <v>24.892156862745097</v>
      </c>
    </row>
    <row r="60" spans="2:14" x14ac:dyDescent="0.3">
      <c r="B60" s="3">
        <v>46053</v>
      </c>
      <c r="C60" s="4">
        <v>5</v>
      </c>
      <c r="D60" s="4">
        <v>2</v>
      </c>
      <c r="E60" s="4">
        <v>3</v>
      </c>
      <c r="F60" s="4">
        <v>139</v>
      </c>
      <c r="G60" s="4">
        <v>58</v>
      </c>
      <c r="H60" s="4">
        <v>2450</v>
      </c>
      <c r="I60" s="4">
        <v>121900</v>
      </c>
      <c r="J60" s="4">
        <v>81404</v>
      </c>
      <c r="K60" s="4">
        <f t="shared" si="7"/>
        <v>203304</v>
      </c>
      <c r="L60" s="5">
        <f t="shared" si="6"/>
        <v>876.97841726618708</v>
      </c>
      <c r="M60" s="4">
        <f t="shared" si="6"/>
        <v>1403.5172413793102</v>
      </c>
      <c r="N60" s="10">
        <f t="shared" si="8"/>
        <v>1.4974694118225149</v>
      </c>
    </row>
    <row r="61" spans="2:14" x14ac:dyDescent="0.3">
      <c r="B61" s="3">
        <v>46081</v>
      </c>
      <c r="C61" s="4">
        <v>5</v>
      </c>
      <c r="D61" s="4">
        <v>6</v>
      </c>
      <c r="E61" s="4">
        <v>-1</v>
      </c>
      <c r="F61" s="4">
        <v>136</v>
      </c>
      <c r="G61" s="4">
        <v>40</v>
      </c>
      <c r="H61" s="4">
        <v>2200</v>
      </c>
      <c r="I61" s="4">
        <v>124150</v>
      </c>
      <c r="J61" s="4">
        <v>70371</v>
      </c>
      <c r="K61" s="4">
        <f t="shared" si="7"/>
        <v>194521</v>
      </c>
      <c r="L61" s="5">
        <f t="shared" si="6"/>
        <v>912.86764705882354</v>
      </c>
      <c r="M61" s="4">
        <f t="shared" si="6"/>
        <v>1759.2750000000001</v>
      </c>
      <c r="N61" s="10">
        <f t="shared" si="8"/>
        <v>1.7642210569694903</v>
      </c>
    </row>
    <row r="62" spans="2:14" x14ac:dyDescent="0.3">
      <c r="B62" s="3">
        <v>46112</v>
      </c>
      <c r="C62" s="4">
        <v>0</v>
      </c>
      <c r="D62" s="4">
        <v>6</v>
      </c>
      <c r="E62" s="4">
        <v>-6</v>
      </c>
      <c r="F62" s="4">
        <v>135</v>
      </c>
      <c r="G62" s="4">
        <v>2</v>
      </c>
      <c r="H62" s="4">
        <v>0</v>
      </c>
      <c r="I62" s="4">
        <v>122500</v>
      </c>
      <c r="J62" s="4">
        <v>751</v>
      </c>
      <c r="K62" s="4">
        <f t="shared" si="7"/>
        <v>123251</v>
      </c>
      <c r="L62" s="5">
        <f t="shared" si="6"/>
        <v>907.40740740740739</v>
      </c>
      <c r="M62" s="4">
        <f t="shared" si="6"/>
        <v>375.5</v>
      </c>
      <c r="N62" s="10">
        <f t="shared" si="8"/>
        <v>163.11584553928097</v>
      </c>
    </row>
    <row r="63" spans="2:14" x14ac:dyDescent="0.3">
      <c r="B63" s="3">
        <v>46142</v>
      </c>
      <c r="C63" s="4">
        <v>0</v>
      </c>
      <c r="D63" s="4">
        <v>4</v>
      </c>
      <c r="E63" s="4">
        <v>-4</v>
      </c>
      <c r="F63" s="4">
        <v>134</v>
      </c>
      <c r="G63" s="4">
        <v>62</v>
      </c>
      <c r="H63" s="4">
        <v>0</v>
      </c>
      <c r="I63" s="4">
        <v>122800</v>
      </c>
      <c r="J63" s="4">
        <v>71377</v>
      </c>
      <c r="K63" s="4">
        <f t="shared" si="7"/>
        <v>194177</v>
      </c>
      <c r="L63" s="5">
        <f t="shared" si="6"/>
        <v>916.41791044776119</v>
      </c>
      <c r="M63" s="4">
        <f t="shared" si="6"/>
        <v>1151.241935483871</v>
      </c>
      <c r="N63" s="10">
        <f t="shared" si="8"/>
        <v>1.7204421592389705</v>
      </c>
    </row>
    <row r="64" spans="2:14" x14ac:dyDescent="0.3">
      <c r="B64" s="3">
        <v>46173</v>
      </c>
      <c r="C64" s="4">
        <v>1</v>
      </c>
      <c r="D64" s="4">
        <v>4</v>
      </c>
      <c r="E64" s="4">
        <v>-3</v>
      </c>
      <c r="F64" s="4">
        <v>131</v>
      </c>
      <c r="G64" s="4">
        <v>64</v>
      </c>
      <c r="H64" s="4">
        <v>2000</v>
      </c>
      <c r="I64" s="4">
        <v>120800</v>
      </c>
      <c r="J64" s="4">
        <v>34036</v>
      </c>
      <c r="K64" s="4">
        <f t="shared" si="7"/>
        <v>154836</v>
      </c>
      <c r="L64" s="5">
        <f t="shared" si="6"/>
        <v>922.13740458015263</v>
      </c>
      <c r="M64" s="4">
        <f t="shared" si="6"/>
        <v>531.8125</v>
      </c>
      <c r="N64" s="10">
        <f t="shared" si="8"/>
        <v>3.5491832177694205</v>
      </c>
    </row>
    <row r="65" spans="2:14" ht="15.6" x14ac:dyDescent="0.3">
      <c r="B65" s="6" t="s">
        <v>12</v>
      </c>
      <c r="C65" s="7">
        <v>125</v>
      </c>
      <c r="D65" s="7">
        <v>99</v>
      </c>
      <c r="E65" s="7">
        <v>26</v>
      </c>
      <c r="F65" s="7">
        <v>2236</v>
      </c>
      <c r="G65" s="7">
        <v>652</v>
      </c>
      <c r="H65" s="7">
        <v>80450</v>
      </c>
      <c r="I65" s="7">
        <v>2134800</v>
      </c>
      <c r="J65" s="7">
        <v>836630</v>
      </c>
      <c r="K65" s="7">
        <f>SUM(K48:K64)</f>
        <v>2971430</v>
      </c>
      <c r="L65" s="8">
        <f t="shared" si="6"/>
        <v>954.74060822898036</v>
      </c>
      <c r="M65" s="7">
        <f>J65/G65</f>
        <v>1283.1748466257668</v>
      </c>
      <c r="N65" s="10">
        <f t="shared" si="8"/>
        <v>2.5516656108435032</v>
      </c>
    </row>
    <row r="68" spans="2:14" ht="23.4" x14ac:dyDescent="0.45">
      <c r="B68" s="1" t="s">
        <v>15</v>
      </c>
    </row>
    <row r="69" spans="2:14" ht="72" x14ac:dyDescent="0.3">
      <c r="B69" s="2" t="s">
        <v>1</v>
      </c>
      <c r="C69" s="2" t="s">
        <v>2</v>
      </c>
      <c r="D69" s="2" t="s">
        <v>3</v>
      </c>
      <c r="E69" s="2" t="s">
        <v>4</v>
      </c>
      <c r="F69" s="2" t="s">
        <v>5</v>
      </c>
      <c r="G69" s="2" t="s">
        <v>6</v>
      </c>
      <c r="H69" s="2" t="s">
        <v>7</v>
      </c>
      <c r="I69" s="2" t="s">
        <v>8</v>
      </c>
      <c r="J69" s="2" t="s">
        <v>9</v>
      </c>
      <c r="K69" s="2" t="s">
        <v>10</v>
      </c>
      <c r="L69" s="2" t="s">
        <v>11</v>
      </c>
      <c r="M69" s="2" t="s">
        <v>21</v>
      </c>
      <c r="N69" s="2" t="s">
        <v>22</v>
      </c>
    </row>
    <row r="70" spans="2:14" x14ac:dyDescent="0.3">
      <c r="B70" s="3">
        <v>45688</v>
      </c>
      <c r="C70" s="4">
        <v>1</v>
      </c>
      <c r="D70" s="4">
        <v>2</v>
      </c>
      <c r="E70" s="4">
        <v>-1</v>
      </c>
      <c r="F70" s="4">
        <v>82</v>
      </c>
      <c r="G70" s="4">
        <v>2</v>
      </c>
      <c r="H70" s="4">
        <v>300</v>
      </c>
      <c r="I70" s="4">
        <v>36239</v>
      </c>
      <c r="J70" s="4">
        <v>1000</v>
      </c>
      <c r="K70" s="4">
        <f>I70+J70</f>
        <v>37239</v>
      </c>
      <c r="L70" s="5">
        <f t="shared" ref="L70:M87" si="9">I70/F70</f>
        <v>441.9390243902439</v>
      </c>
      <c r="M70" s="4">
        <f>J70/G70</f>
        <v>500</v>
      </c>
      <c r="N70" s="10">
        <f>I70/J70</f>
        <v>36.238999999999997</v>
      </c>
    </row>
    <row r="71" spans="2:14" x14ac:dyDescent="0.3">
      <c r="B71" s="3">
        <v>45716</v>
      </c>
      <c r="C71" s="4">
        <v>7</v>
      </c>
      <c r="D71" s="4">
        <v>3</v>
      </c>
      <c r="E71" s="4">
        <v>4</v>
      </c>
      <c r="F71" s="4">
        <v>82</v>
      </c>
      <c r="G71" s="4">
        <v>0</v>
      </c>
      <c r="H71" s="4">
        <v>3900</v>
      </c>
      <c r="I71" s="4">
        <v>32309</v>
      </c>
      <c r="J71" s="4">
        <v>0</v>
      </c>
      <c r="K71" s="4">
        <f t="shared" ref="K71:K86" si="10">I71+J71</f>
        <v>32309</v>
      </c>
      <c r="L71" s="5">
        <f t="shared" si="9"/>
        <v>394.01219512195121</v>
      </c>
      <c r="M71" s="4" t="e">
        <f t="shared" si="9"/>
        <v>#DIV/0!</v>
      </c>
      <c r="N71" s="10" t="e">
        <f t="shared" ref="N71:N87" si="11">I71/J71</f>
        <v>#DIV/0!</v>
      </c>
    </row>
    <row r="72" spans="2:14" x14ac:dyDescent="0.3">
      <c r="B72" s="3">
        <v>45747</v>
      </c>
      <c r="C72" s="4">
        <v>8</v>
      </c>
      <c r="D72" s="4">
        <v>4</v>
      </c>
      <c r="E72" s="4">
        <v>4</v>
      </c>
      <c r="F72" s="4">
        <v>92</v>
      </c>
      <c r="G72" s="4">
        <v>2</v>
      </c>
      <c r="H72" s="4">
        <v>3950</v>
      </c>
      <c r="I72" s="4">
        <v>45509</v>
      </c>
      <c r="J72" s="4">
        <v>600</v>
      </c>
      <c r="K72" s="4">
        <f t="shared" si="10"/>
        <v>46109</v>
      </c>
      <c r="L72" s="5">
        <f t="shared" si="9"/>
        <v>494.66304347826087</v>
      </c>
      <c r="M72" s="4">
        <f t="shared" si="9"/>
        <v>300</v>
      </c>
      <c r="N72" s="10">
        <f t="shared" si="11"/>
        <v>75.848333333333329</v>
      </c>
    </row>
    <row r="73" spans="2:14" x14ac:dyDescent="0.3">
      <c r="B73" s="3">
        <v>45777</v>
      </c>
      <c r="C73" s="4">
        <v>6</v>
      </c>
      <c r="D73" s="4">
        <v>6</v>
      </c>
      <c r="E73" s="4">
        <v>0</v>
      </c>
      <c r="F73" s="4">
        <v>87</v>
      </c>
      <c r="G73" s="4">
        <v>4</v>
      </c>
      <c r="H73" s="4">
        <v>2800</v>
      </c>
      <c r="I73" s="4">
        <v>38259</v>
      </c>
      <c r="J73" s="4">
        <v>6300</v>
      </c>
      <c r="K73" s="4">
        <f t="shared" si="10"/>
        <v>44559</v>
      </c>
      <c r="L73" s="5">
        <f t="shared" si="9"/>
        <v>439.75862068965517</v>
      </c>
      <c r="M73" s="4">
        <f t="shared" si="9"/>
        <v>1575</v>
      </c>
      <c r="N73" s="10">
        <f t="shared" si="11"/>
        <v>6.072857142857143</v>
      </c>
    </row>
    <row r="74" spans="2:14" x14ac:dyDescent="0.3">
      <c r="B74" s="3">
        <v>45808</v>
      </c>
      <c r="C74" s="4">
        <v>4</v>
      </c>
      <c r="D74" s="4">
        <v>3</v>
      </c>
      <c r="E74" s="4">
        <v>1</v>
      </c>
      <c r="F74" s="4">
        <v>92</v>
      </c>
      <c r="G74" s="4">
        <v>1</v>
      </c>
      <c r="H74" s="4">
        <v>2550</v>
      </c>
      <c r="I74" s="4">
        <v>41809</v>
      </c>
      <c r="J74" s="4">
        <v>300</v>
      </c>
      <c r="K74" s="4">
        <f t="shared" si="10"/>
        <v>42109</v>
      </c>
      <c r="L74" s="5">
        <f t="shared" si="9"/>
        <v>454.44565217391306</v>
      </c>
      <c r="M74" s="4">
        <f t="shared" si="9"/>
        <v>300</v>
      </c>
      <c r="N74" s="10">
        <f t="shared" si="11"/>
        <v>139.36333333333334</v>
      </c>
    </row>
    <row r="75" spans="2:14" x14ac:dyDescent="0.3">
      <c r="B75" s="3">
        <v>45838</v>
      </c>
      <c r="C75" s="4">
        <v>6</v>
      </c>
      <c r="D75" s="4">
        <v>1</v>
      </c>
      <c r="E75" s="4">
        <v>5</v>
      </c>
      <c r="F75" s="4">
        <v>96</v>
      </c>
      <c r="G75" s="4">
        <v>1</v>
      </c>
      <c r="H75" s="4">
        <v>4200</v>
      </c>
      <c r="I75" s="4">
        <v>44909</v>
      </c>
      <c r="J75" s="4">
        <v>2000</v>
      </c>
      <c r="K75" s="4">
        <f t="shared" si="10"/>
        <v>46909</v>
      </c>
      <c r="L75" s="5">
        <f t="shared" si="9"/>
        <v>467.80208333333331</v>
      </c>
      <c r="M75" s="4">
        <f t="shared" si="9"/>
        <v>2000</v>
      </c>
      <c r="N75" s="10">
        <f t="shared" si="11"/>
        <v>22.454499999999999</v>
      </c>
    </row>
    <row r="76" spans="2:14" x14ac:dyDescent="0.3">
      <c r="B76" s="3">
        <v>45869</v>
      </c>
      <c r="C76" s="4">
        <v>4</v>
      </c>
      <c r="D76" s="4">
        <v>4</v>
      </c>
      <c r="E76" s="4">
        <v>0</v>
      </c>
      <c r="F76" s="4">
        <v>95</v>
      </c>
      <c r="G76" s="4">
        <v>1</v>
      </c>
      <c r="H76" s="4">
        <v>1700</v>
      </c>
      <c r="I76" s="4">
        <v>44809</v>
      </c>
      <c r="J76" s="4">
        <v>2000</v>
      </c>
      <c r="K76" s="4">
        <f t="shared" si="10"/>
        <v>46809</v>
      </c>
      <c r="L76" s="5">
        <f t="shared" si="9"/>
        <v>471.67368421052629</v>
      </c>
      <c r="M76" s="4">
        <f t="shared" si="9"/>
        <v>2000</v>
      </c>
      <c r="N76" s="10">
        <f t="shared" si="11"/>
        <v>22.404499999999999</v>
      </c>
    </row>
    <row r="77" spans="2:14" x14ac:dyDescent="0.3">
      <c r="B77" s="3">
        <v>45900</v>
      </c>
      <c r="C77" s="4">
        <v>6</v>
      </c>
      <c r="D77" s="4">
        <v>6</v>
      </c>
      <c r="E77" s="4">
        <v>0</v>
      </c>
      <c r="F77" s="4">
        <v>97</v>
      </c>
      <c r="G77" s="4">
        <v>2</v>
      </c>
      <c r="H77" s="4">
        <v>5100</v>
      </c>
      <c r="I77" s="4">
        <v>49859</v>
      </c>
      <c r="J77" s="4">
        <v>600</v>
      </c>
      <c r="K77" s="4">
        <f t="shared" si="10"/>
        <v>50459</v>
      </c>
      <c r="L77" s="5">
        <f t="shared" si="9"/>
        <v>514.01030927835052</v>
      </c>
      <c r="M77" s="4">
        <f t="shared" si="9"/>
        <v>300</v>
      </c>
      <c r="N77" s="10">
        <f t="shared" si="11"/>
        <v>83.098333333333329</v>
      </c>
    </row>
    <row r="78" spans="2:14" x14ac:dyDescent="0.3">
      <c r="B78" s="3">
        <v>45930</v>
      </c>
      <c r="C78" s="4">
        <v>4</v>
      </c>
      <c r="D78" s="4">
        <v>5</v>
      </c>
      <c r="E78" s="4">
        <v>-1</v>
      </c>
      <c r="F78" s="4">
        <v>95</v>
      </c>
      <c r="G78" s="4">
        <v>2</v>
      </c>
      <c r="H78" s="4">
        <v>2600</v>
      </c>
      <c r="I78" s="4">
        <v>48859</v>
      </c>
      <c r="J78" s="4">
        <v>5000</v>
      </c>
      <c r="K78" s="4">
        <f t="shared" si="10"/>
        <v>53859</v>
      </c>
      <c r="L78" s="5">
        <f t="shared" si="9"/>
        <v>514.30526315789473</v>
      </c>
      <c r="M78" s="4">
        <f t="shared" si="9"/>
        <v>2500</v>
      </c>
      <c r="N78" s="10">
        <f t="shared" si="11"/>
        <v>9.7718000000000007</v>
      </c>
    </row>
    <row r="79" spans="2:14" x14ac:dyDescent="0.3">
      <c r="B79" s="3">
        <v>45961</v>
      </c>
      <c r="C79" s="4">
        <v>3</v>
      </c>
      <c r="D79" s="4">
        <v>3</v>
      </c>
      <c r="E79" s="4">
        <v>0</v>
      </c>
      <c r="F79" s="4">
        <v>96</v>
      </c>
      <c r="G79" s="4">
        <v>0</v>
      </c>
      <c r="H79" s="4">
        <v>1000</v>
      </c>
      <c r="I79" s="4">
        <v>48559</v>
      </c>
      <c r="J79" s="4">
        <v>0</v>
      </c>
      <c r="K79" s="4">
        <f t="shared" si="10"/>
        <v>48559</v>
      </c>
      <c r="L79" s="5">
        <f t="shared" si="9"/>
        <v>505.82291666666669</v>
      </c>
      <c r="M79" s="4" t="e">
        <f t="shared" si="9"/>
        <v>#DIV/0!</v>
      </c>
      <c r="N79" s="10" t="e">
        <f t="shared" si="11"/>
        <v>#DIV/0!</v>
      </c>
    </row>
    <row r="80" spans="2:14" x14ac:dyDescent="0.3">
      <c r="B80" s="3">
        <v>45991</v>
      </c>
      <c r="C80" s="4">
        <v>16</v>
      </c>
      <c r="D80" s="4">
        <v>3</v>
      </c>
      <c r="E80" s="4">
        <v>13</v>
      </c>
      <c r="F80" s="4">
        <v>114</v>
      </c>
      <c r="G80" s="4">
        <v>63</v>
      </c>
      <c r="H80" s="4">
        <v>68000</v>
      </c>
      <c r="I80" s="4">
        <v>128559</v>
      </c>
      <c r="J80" s="4">
        <v>32693</v>
      </c>
      <c r="K80" s="4">
        <f t="shared" si="10"/>
        <v>161252</v>
      </c>
      <c r="L80" s="5">
        <f t="shared" si="9"/>
        <v>1127.7105263157894</v>
      </c>
      <c r="M80" s="4">
        <f t="shared" si="9"/>
        <v>518.93650793650795</v>
      </c>
      <c r="N80" s="10">
        <f t="shared" si="11"/>
        <v>3.9323096687364267</v>
      </c>
    </row>
    <row r="81" spans="2:14" x14ac:dyDescent="0.3">
      <c r="B81" s="3">
        <v>46022</v>
      </c>
      <c r="C81" s="4">
        <v>5</v>
      </c>
      <c r="D81" s="4">
        <v>6</v>
      </c>
      <c r="E81" s="4">
        <v>-1</v>
      </c>
      <c r="F81" s="4">
        <v>109</v>
      </c>
      <c r="G81" s="4">
        <v>1</v>
      </c>
      <c r="H81" s="4">
        <v>14400</v>
      </c>
      <c r="I81" s="4">
        <v>122809</v>
      </c>
      <c r="J81" s="4">
        <v>5000</v>
      </c>
      <c r="K81" s="4">
        <f t="shared" si="10"/>
        <v>127809</v>
      </c>
      <c r="L81" s="5">
        <f t="shared" si="9"/>
        <v>1126.6880733944954</v>
      </c>
      <c r="M81" s="4">
        <f t="shared" si="9"/>
        <v>5000</v>
      </c>
      <c r="N81" s="10">
        <f t="shared" si="11"/>
        <v>24.561800000000002</v>
      </c>
    </row>
    <row r="82" spans="2:14" x14ac:dyDescent="0.3">
      <c r="B82" s="3">
        <v>46053</v>
      </c>
      <c r="C82" s="4">
        <v>2</v>
      </c>
      <c r="D82" s="4">
        <v>7</v>
      </c>
      <c r="E82" s="4">
        <v>-5</v>
      </c>
      <c r="F82" s="4">
        <v>104</v>
      </c>
      <c r="G82" s="4">
        <v>1</v>
      </c>
      <c r="H82" s="4">
        <v>2000</v>
      </c>
      <c r="I82" s="4">
        <v>130509</v>
      </c>
      <c r="J82" s="4">
        <v>1000</v>
      </c>
      <c r="K82" s="4">
        <f t="shared" si="10"/>
        <v>131509</v>
      </c>
      <c r="L82" s="5">
        <f t="shared" si="9"/>
        <v>1254.8942307692307</v>
      </c>
      <c r="M82" s="4">
        <f t="shared" si="9"/>
        <v>1000</v>
      </c>
      <c r="N82" s="10">
        <f t="shared" si="11"/>
        <v>130.50899999999999</v>
      </c>
    </row>
    <row r="83" spans="2:14" x14ac:dyDescent="0.3">
      <c r="B83" s="3">
        <v>46081</v>
      </c>
      <c r="C83" s="4">
        <v>3</v>
      </c>
      <c r="D83" s="4">
        <v>4</v>
      </c>
      <c r="E83" s="4">
        <v>-1</v>
      </c>
      <c r="F83" s="4">
        <v>85</v>
      </c>
      <c r="G83" s="4">
        <v>0</v>
      </c>
      <c r="H83" s="4">
        <v>1600</v>
      </c>
      <c r="I83" s="4">
        <v>115909</v>
      </c>
      <c r="J83" s="4">
        <v>0</v>
      </c>
      <c r="K83" s="4">
        <f t="shared" si="10"/>
        <v>115909</v>
      </c>
      <c r="L83" s="5">
        <f t="shared" si="9"/>
        <v>1363.6352941176472</v>
      </c>
      <c r="M83" s="4" t="e">
        <f t="shared" si="9"/>
        <v>#DIV/0!</v>
      </c>
      <c r="N83" s="10" t="e">
        <f t="shared" si="11"/>
        <v>#DIV/0!</v>
      </c>
    </row>
    <row r="84" spans="2:14" x14ac:dyDescent="0.3">
      <c r="B84" s="3">
        <v>46112</v>
      </c>
      <c r="C84" s="4">
        <v>1</v>
      </c>
      <c r="D84" s="4">
        <v>5</v>
      </c>
      <c r="E84" s="4">
        <v>-4</v>
      </c>
      <c r="F84" s="4">
        <v>100</v>
      </c>
      <c r="G84" s="4">
        <v>1</v>
      </c>
      <c r="H84" s="4">
        <v>1</v>
      </c>
      <c r="I84" s="4">
        <v>106912</v>
      </c>
      <c r="J84" s="4">
        <v>1000</v>
      </c>
      <c r="K84" s="4">
        <f t="shared" si="10"/>
        <v>107912</v>
      </c>
      <c r="L84" s="5">
        <f t="shared" si="9"/>
        <v>1069.1199999999999</v>
      </c>
      <c r="M84" s="4">
        <f t="shared" si="9"/>
        <v>1000</v>
      </c>
      <c r="N84" s="10">
        <f t="shared" si="11"/>
        <v>106.91200000000001</v>
      </c>
    </row>
    <row r="85" spans="2:14" x14ac:dyDescent="0.3">
      <c r="B85" s="3">
        <v>46142</v>
      </c>
      <c r="C85" s="4">
        <v>0</v>
      </c>
      <c r="D85" s="4">
        <v>6</v>
      </c>
      <c r="E85" s="4">
        <v>-6</v>
      </c>
      <c r="F85" s="4">
        <v>98</v>
      </c>
      <c r="G85" s="4">
        <v>3</v>
      </c>
      <c r="H85" s="4">
        <v>0</v>
      </c>
      <c r="I85" s="4">
        <v>107460</v>
      </c>
      <c r="J85" s="4">
        <v>5000</v>
      </c>
      <c r="K85" s="4">
        <f t="shared" si="10"/>
        <v>112460</v>
      </c>
      <c r="L85" s="5">
        <f t="shared" si="9"/>
        <v>1096.5306122448981</v>
      </c>
      <c r="M85" s="4">
        <f t="shared" si="9"/>
        <v>1666.6666666666667</v>
      </c>
      <c r="N85" s="10">
        <f t="shared" si="11"/>
        <v>21.492000000000001</v>
      </c>
    </row>
    <row r="86" spans="2:14" x14ac:dyDescent="0.3">
      <c r="B86" s="3">
        <v>46173</v>
      </c>
      <c r="C86" s="4">
        <v>0</v>
      </c>
      <c r="D86" s="4">
        <v>10</v>
      </c>
      <c r="E86" s="4">
        <v>-10</v>
      </c>
      <c r="F86" s="4">
        <v>90</v>
      </c>
      <c r="G86" s="4">
        <v>2</v>
      </c>
      <c r="H86" s="4">
        <v>0</v>
      </c>
      <c r="I86" s="4">
        <v>101810</v>
      </c>
      <c r="J86" s="4">
        <v>3000</v>
      </c>
      <c r="K86" s="4">
        <f t="shared" si="10"/>
        <v>104810</v>
      </c>
      <c r="L86" s="5">
        <f t="shared" si="9"/>
        <v>1131.2222222222222</v>
      </c>
      <c r="M86" s="4">
        <f t="shared" si="9"/>
        <v>1500</v>
      </c>
      <c r="N86" s="10">
        <f t="shared" si="11"/>
        <v>33.936666666666667</v>
      </c>
    </row>
    <row r="87" spans="2:14" ht="15.6" x14ac:dyDescent="0.3">
      <c r="B87" s="6" t="s">
        <v>12</v>
      </c>
      <c r="C87" s="7">
        <v>76</v>
      </c>
      <c r="D87" s="7">
        <v>78</v>
      </c>
      <c r="E87" s="7">
        <v>-2</v>
      </c>
      <c r="F87" s="7">
        <v>1614</v>
      </c>
      <c r="G87" s="7">
        <v>86</v>
      </c>
      <c r="H87" s="7">
        <v>114101</v>
      </c>
      <c r="I87" s="7">
        <v>1245088</v>
      </c>
      <c r="J87" s="7">
        <v>65493</v>
      </c>
      <c r="K87" s="7">
        <f>SUM(K70:K86)</f>
        <v>1310581</v>
      </c>
      <c r="L87" s="8">
        <f t="shared" si="9"/>
        <v>771.42998760842625</v>
      </c>
      <c r="M87" s="7">
        <f t="shared" si="9"/>
        <v>761.54651162790697</v>
      </c>
      <c r="N87" s="11">
        <f t="shared" si="11"/>
        <v>19.011008810101842</v>
      </c>
    </row>
    <row r="90" spans="2:14" ht="23.4" x14ac:dyDescent="0.45">
      <c r="B90" s="1" t="s">
        <v>16</v>
      </c>
    </row>
    <row r="91" spans="2:14" ht="72" x14ac:dyDescent="0.3">
      <c r="B91" s="2" t="s">
        <v>1</v>
      </c>
      <c r="C91" s="2" t="s">
        <v>2</v>
      </c>
      <c r="D91" s="2" t="s">
        <v>3</v>
      </c>
      <c r="E91" s="2" t="s">
        <v>4</v>
      </c>
      <c r="F91" s="2" t="s">
        <v>5</v>
      </c>
      <c r="G91" s="2" t="s">
        <v>6</v>
      </c>
      <c r="H91" s="2" t="s">
        <v>7</v>
      </c>
      <c r="I91" s="2" t="s">
        <v>8</v>
      </c>
      <c r="J91" s="2" t="s">
        <v>9</v>
      </c>
      <c r="K91" s="2" t="s">
        <v>10</v>
      </c>
      <c r="L91" s="2" t="s">
        <v>11</v>
      </c>
      <c r="M91" s="2" t="s">
        <v>21</v>
      </c>
      <c r="N91" s="2" t="s">
        <v>22</v>
      </c>
    </row>
    <row r="92" spans="2:14" x14ac:dyDescent="0.3">
      <c r="B92" s="3">
        <v>45688</v>
      </c>
      <c r="C92" s="4">
        <v>1</v>
      </c>
      <c r="D92" s="4">
        <v>0</v>
      </c>
      <c r="E92" s="4">
        <v>1</v>
      </c>
      <c r="F92" s="4">
        <v>57</v>
      </c>
      <c r="G92" s="4">
        <v>1</v>
      </c>
      <c r="H92" s="4">
        <v>3000</v>
      </c>
      <c r="I92" s="4">
        <v>26450</v>
      </c>
      <c r="J92" s="4">
        <v>300</v>
      </c>
      <c r="K92" s="4">
        <f>I92+J92</f>
        <v>26750</v>
      </c>
      <c r="L92" s="5">
        <f>I92/F92</f>
        <v>464.03508771929825</v>
      </c>
      <c r="M92" s="4">
        <f>J92/G92</f>
        <v>300</v>
      </c>
      <c r="N92" s="10">
        <f>I92/J92</f>
        <v>88.166666666666671</v>
      </c>
    </row>
    <row r="93" spans="2:14" x14ac:dyDescent="0.3">
      <c r="B93" s="3">
        <v>45716</v>
      </c>
      <c r="C93" s="4">
        <v>0</v>
      </c>
      <c r="D93" s="4">
        <v>3</v>
      </c>
      <c r="E93" s="4">
        <v>-3</v>
      </c>
      <c r="F93" s="4">
        <v>54</v>
      </c>
      <c r="G93" s="4">
        <v>0</v>
      </c>
      <c r="H93" s="4">
        <v>0</v>
      </c>
      <c r="I93" s="4">
        <v>25050</v>
      </c>
      <c r="J93" s="4">
        <v>0</v>
      </c>
      <c r="K93" s="4">
        <f t="shared" ref="K93:K108" si="12">I93+J93</f>
        <v>25050</v>
      </c>
      <c r="L93" s="5">
        <f t="shared" ref="L93:M109" si="13">I93/F93</f>
        <v>463.88888888888891</v>
      </c>
      <c r="M93" s="4" t="e">
        <f t="shared" si="13"/>
        <v>#DIV/0!</v>
      </c>
      <c r="N93" s="10" t="e">
        <f t="shared" ref="N93:N109" si="14">I93/J93</f>
        <v>#DIV/0!</v>
      </c>
    </row>
    <row r="94" spans="2:14" x14ac:dyDescent="0.3">
      <c r="B94" s="3">
        <v>45747</v>
      </c>
      <c r="C94" s="4">
        <v>0</v>
      </c>
      <c r="D94" s="4">
        <v>2</v>
      </c>
      <c r="E94" s="4">
        <v>-2</v>
      </c>
      <c r="F94" s="4">
        <v>54</v>
      </c>
      <c r="G94" s="4">
        <v>0</v>
      </c>
      <c r="H94" s="4">
        <v>0</v>
      </c>
      <c r="I94" s="4">
        <v>26050</v>
      </c>
      <c r="J94" s="4">
        <v>0</v>
      </c>
      <c r="K94" s="4">
        <f t="shared" si="12"/>
        <v>26050</v>
      </c>
      <c r="L94" s="5">
        <f t="shared" si="13"/>
        <v>482.40740740740739</v>
      </c>
      <c r="M94" s="4" t="e">
        <f t="shared" si="13"/>
        <v>#DIV/0!</v>
      </c>
      <c r="N94" s="10" t="e">
        <f t="shared" si="14"/>
        <v>#DIV/0!</v>
      </c>
    </row>
    <row r="95" spans="2:14" x14ac:dyDescent="0.3">
      <c r="B95" s="3">
        <v>45777</v>
      </c>
      <c r="C95" s="4">
        <v>0</v>
      </c>
      <c r="D95" s="4">
        <v>6</v>
      </c>
      <c r="E95" s="4">
        <v>-6</v>
      </c>
      <c r="F95" s="4">
        <v>48</v>
      </c>
      <c r="G95" s="4">
        <v>0</v>
      </c>
      <c r="H95" s="4">
        <v>0</v>
      </c>
      <c r="I95" s="4">
        <v>23950</v>
      </c>
      <c r="J95" s="4">
        <v>0</v>
      </c>
      <c r="K95" s="4">
        <f t="shared" si="12"/>
        <v>23950</v>
      </c>
      <c r="L95" s="5">
        <f t="shared" si="13"/>
        <v>498.95833333333331</v>
      </c>
      <c r="M95" s="4" t="e">
        <f t="shared" si="13"/>
        <v>#DIV/0!</v>
      </c>
      <c r="N95" s="10" t="e">
        <f t="shared" si="14"/>
        <v>#DIV/0!</v>
      </c>
    </row>
    <row r="96" spans="2:14" x14ac:dyDescent="0.3">
      <c r="B96" s="3">
        <v>45808</v>
      </c>
      <c r="C96" s="4">
        <v>0</v>
      </c>
      <c r="D96" s="4">
        <v>1</v>
      </c>
      <c r="E96" s="4">
        <v>-1</v>
      </c>
      <c r="F96" s="4">
        <v>46</v>
      </c>
      <c r="G96" s="4">
        <v>0</v>
      </c>
      <c r="H96" s="4">
        <v>0</v>
      </c>
      <c r="I96" s="4">
        <v>19950</v>
      </c>
      <c r="J96" s="4">
        <v>0</v>
      </c>
      <c r="K96" s="4">
        <f t="shared" si="12"/>
        <v>19950</v>
      </c>
      <c r="L96" s="5">
        <f t="shared" si="13"/>
        <v>433.69565217391306</v>
      </c>
      <c r="M96" s="4" t="e">
        <f t="shared" si="13"/>
        <v>#DIV/0!</v>
      </c>
      <c r="N96" s="10" t="e">
        <f t="shared" si="14"/>
        <v>#DIV/0!</v>
      </c>
    </row>
    <row r="97" spans="2:14" x14ac:dyDescent="0.3">
      <c r="B97" s="3">
        <v>45838</v>
      </c>
      <c r="C97" s="4">
        <v>1</v>
      </c>
      <c r="D97" s="4">
        <v>2</v>
      </c>
      <c r="E97" s="4">
        <v>-1</v>
      </c>
      <c r="F97" s="4">
        <v>45</v>
      </c>
      <c r="G97" s="4">
        <v>0</v>
      </c>
      <c r="H97" s="4">
        <v>300</v>
      </c>
      <c r="I97" s="4">
        <v>20830</v>
      </c>
      <c r="J97" s="4">
        <v>0</v>
      </c>
      <c r="K97" s="4">
        <f t="shared" si="12"/>
        <v>20830</v>
      </c>
      <c r="L97" s="5">
        <f t="shared" si="13"/>
        <v>462.88888888888891</v>
      </c>
      <c r="M97" s="4" t="e">
        <f t="shared" si="13"/>
        <v>#DIV/0!</v>
      </c>
      <c r="N97" s="10" t="e">
        <f t="shared" si="14"/>
        <v>#DIV/0!</v>
      </c>
    </row>
    <row r="98" spans="2:14" x14ac:dyDescent="0.3">
      <c r="B98" s="3">
        <v>45869</v>
      </c>
      <c r="C98" s="4">
        <v>0</v>
      </c>
      <c r="D98" s="4">
        <v>1</v>
      </c>
      <c r="E98" s="4">
        <v>-1</v>
      </c>
      <c r="F98" s="4">
        <v>45</v>
      </c>
      <c r="G98" s="4">
        <v>0</v>
      </c>
      <c r="H98" s="4">
        <v>0</v>
      </c>
      <c r="I98" s="4">
        <v>21530</v>
      </c>
      <c r="J98" s="4">
        <v>0</v>
      </c>
      <c r="K98" s="4">
        <f t="shared" si="12"/>
        <v>21530</v>
      </c>
      <c r="L98" s="5">
        <f t="shared" si="13"/>
        <v>478.44444444444446</v>
      </c>
      <c r="M98" s="4" t="e">
        <f t="shared" si="13"/>
        <v>#DIV/0!</v>
      </c>
      <c r="N98" s="10" t="e">
        <f t="shared" si="14"/>
        <v>#DIV/0!</v>
      </c>
    </row>
    <row r="99" spans="2:14" x14ac:dyDescent="0.3">
      <c r="B99" s="3">
        <v>45900</v>
      </c>
      <c r="C99" s="4">
        <v>0</v>
      </c>
      <c r="D99" s="4">
        <v>2</v>
      </c>
      <c r="E99" s="4">
        <v>-2</v>
      </c>
      <c r="F99" s="4">
        <v>44</v>
      </c>
      <c r="G99" s="4">
        <v>0</v>
      </c>
      <c r="H99" s="4">
        <v>0</v>
      </c>
      <c r="I99" s="4">
        <v>20530</v>
      </c>
      <c r="J99" s="4">
        <v>0</v>
      </c>
      <c r="K99" s="4">
        <f t="shared" si="12"/>
        <v>20530</v>
      </c>
      <c r="L99" s="5">
        <f t="shared" si="13"/>
        <v>466.59090909090907</v>
      </c>
      <c r="M99" s="4" t="e">
        <f t="shared" si="13"/>
        <v>#DIV/0!</v>
      </c>
      <c r="N99" s="10" t="e">
        <f t="shared" si="14"/>
        <v>#DIV/0!</v>
      </c>
    </row>
    <row r="100" spans="2:14" x14ac:dyDescent="0.3">
      <c r="B100" s="3">
        <v>45930</v>
      </c>
      <c r="C100" s="4">
        <v>0</v>
      </c>
      <c r="D100" s="4">
        <v>1</v>
      </c>
      <c r="E100" s="4">
        <v>-1</v>
      </c>
      <c r="F100" s="4">
        <v>41</v>
      </c>
      <c r="G100" s="4">
        <v>0</v>
      </c>
      <c r="H100" s="4">
        <v>0</v>
      </c>
      <c r="I100" s="4">
        <v>19130</v>
      </c>
      <c r="J100" s="4">
        <v>0</v>
      </c>
      <c r="K100" s="4">
        <f t="shared" si="12"/>
        <v>19130</v>
      </c>
      <c r="L100" s="5">
        <f t="shared" si="13"/>
        <v>466.58536585365852</v>
      </c>
      <c r="M100" s="4" t="e">
        <f t="shared" si="13"/>
        <v>#DIV/0!</v>
      </c>
      <c r="N100" s="10" t="e">
        <f t="shared" si="14"/>
        <v>#DIV/0!</v>
      </c>
    </row>
    <row r="101" spans="2:14" x14ac:dyDescent="0.3">
      <c r="B101" s="3">
        <v>45961</v>
      </c>
      <c r="C101" s="4">
        <v>0</v>
      </c>
      <c r="D101" s="4">
        <v>2</v>
      </c>
      <c r="E101" s="4">
        <v>-2</v>
      </c>
      <c r="F101" s="4">
        <v>40</v>
      </c>
      <c r="G101" s="4">
        <v>0</v>
      </c>
      <c r="H101" s="4">
        <v>0</v>
      </c>
      <c r="I101" s="4">
        <v>18130</v>
      </c>
      <c r="J101" s="4">
        <v>0</v>
      </c>
      <c r="K101" s="4">
        <f t="shared" si="12"/>
        <v>18130</v>
      </c>
      <c r="L101" s="5">
        <f t="shared" si="13"/>
        <v>453.25</v>
      </c>
      <c r="M101" s="4" t="e">
        <f t="shared" si="13"/>
        <v>#DIV/0!</v>
      </c>
      <c r="N101" s="10" t="e">
        <f t="shared" si="14"/>
        <v>#DIV/0!</v>
      </c>
    </row>
    <row r="102" spans="2:14" x14ac:dyDescent="0.3">
      <c r="B102" s="3">
        <v>45991</v>
      </c>
      <c r="C102" s="4">
        <v>0</v>
      </c>
      <c r="D102" s="4">
        <v>3</v>
      </c>
      <c r="E102" s="4">
        <v>-3</v>
      </c>
      <c r="F102" s="4">
        <v>37</v>
      </c>
      <c r="G102" s="4">
        <v>0</v>
      </c>
      <c r="H102" s="4">
        <v>0</v>
      </c>
      <c r="I102" s="4">
        <v>15830</v>
      </c>
      <c r="J102" s="4">
        <v>0</v>
      </c>
      <c r="K102" s="4">
        <f t="shared" si="12"/>
        <v>15830</v>
      </c>
      <c r="L102" s="5">
        <f t="shared" si="13"/>
        <v>427.83783783783781</v>
      </c>
      <c r="M102" s="4" t="e">
        <f t="shared" si="13"/>
        <v>#DIV/0!</v>
      </c>
      <c r="N102" s="10" t="e">
        <f t="shared" si="14"/>
        <v>#DIV/0!</v>
      </c>
    </row>
    <row r="103" spans="2:14" x14ac:dyDescent="0.3">
      <c r="B103" s="3">
        <v>46022</v>
      </c>
      <c r="C103" s="4">
        <v>0</v>
      </c>
      <c r="D103" s="4">
        <v>0</v>
      </c>
      <c r="E103" s="4">
        <v>0</v>
      </c>
      <c r="F103" s="4">
        <v>37</v>
      </c>
      <c r="G103" s="4">
        <v>0</v>
      </c>
      <c r="H103" s="4">
        <v>0</v>
      </c>
      <c r="I103" s="4">
        <v>26230</v>
      </c>
      <c r="J103" s="4">
        <v>0</v>
      </c>
      <c r="K103" s="4">
        <f t="shared" si="12"/>
        <v>26230</v>
      </c>
      <c r="L103" s="5">
        <f t="shared" si="13"/>
        <v>708.91891891891896</v>
      </c>
      <c r="M103" s="4" t="e">
        <f t="shared" si="13"/>
        <v>#DIV/0!</v>
      </c>
      <c r="N103" s="10" t="e">
        <f t="shared" si="14"/>
        <v>#DIV/0!</v>
      </c>
    </row>
    <row r="104" spans="2:14" x14ac:dyDescent="0.3">
      <c r="B104" s="3">
        <v>46053</v>
      </c>
      <c r="C104" s="4">
        <v>8</v>
      </c>
      <c r="D104" s="4">
        <v>3</v>
      </c>
      <c r="E104" s="4">
        <v>5</v>
      </c>
      <c r="F104" s="4">
        <v>43</v>
      </c>
      <c r="G104" s="4">
        <v>57</v>
      </c>
      <c r="H104" s="4">
        <v>6450</v>
      </c>
      <c r="I104" s="4">
        <v>21680</v>
      </c>
      <c r="J104" s="4">
        <v>85552</v>
      </c>
      <c r="K104" s="4">
        <f t="shared" si="12"/>
        <v>107232</v>
      </c>
      <c r="L104" s="5">
        <f t="shared" si="13"/>
        <v>504.18604651162792</v>
      </c>
      <c r="M104" s="4">
        <f t="shared" si="13"/>
        <v>1500.9122807017543</v>
      </c>
      <c r="N104" s="10">
        <f t="shared" si="14"/>
        <v>0.25341312885730316</v>
      </c>
    </row>
    <row r="105" spans="2:14" x14ac:dyDescent="0.3">
      <c r="B105" s="3">
        <v>46081</v>
      </c>
      <c r="C105" s="4">
        <v>7</v>
      </c>
      <c r="D105" s="4">
        <v>1</v>
      </c>
      <c r="E105" s="4">
        <v>6</v>
      </c>
      <c r="F105" s="4">
        <v>39</v>
      </c>
      <c r="G105" s="4">
        <v>9</v>
      </c>
      <c r="H105" s="4">
        <v>4500</v>
      </c>
      <c r="I105" s="4">
        <v>23180</v>
      </c>
      <c r="J105" s="4">
        <v>4100</v>
      </c>
      <c r="K105" s="4">
        <f t="shared" si="12"/>
        <v>27280</v>
      </c>
      <c r="L105" s="5">
        <f t="shared" si="13"/>
        <v>594.35897435897436</v>
      </c>
      <c r="M105" s="4">
        <f t="shared" si="13"/>
        <v>455.55555555555554</v>
      </c>
      <c r="N105" s="10">
        <f t="shared" si="14"/>
        <v>5.6536585365853655</v>
      </c>
    </row>
    <row r="106" spans="2:14" x14ac:dyDescent="0.3">
      <c r="B106" s="3">
        <v>46112</v>
      </c>
      <c r="C106" s="4">
        <v>2</v>
      </c>
      <c r="D106" s="4">
        <v>2</v>
      </c>
      <c r="E106" s="4">
        <v>0</v>
      </c>
      <c r="F106" s="4">
        <v>50</v>
      </c>
      <c r="G106" s="4">
        <v>8</v>
      </c>
      <c r="H106" s="4">
        <v>151</v>
      </c>
      <c r="I106" s="4">
        <v>24331</v>
      </c>
      <c r="J106" s="4">
        <v>50953</v>
      </c>
      <c r="K106" s="4">
        <f t="shared" si="12"/>
        <v>75284</v>
      </c>
      <c r="L106" s="5">
        <f t="shared" si="13"/>
        <v>486.62</v>
      </c>
      <c r="M106" s="4">
        <f t="shared" si="13"/>
        <v>6369.125</v>
      </c>
      <c r="N106" s="10">
        <f t="shared" si="14"/>
        <v>0.47751849743881614</v>
      </c>
    </row>
    <row r="107" spans="2:14" x14ac:dyDescent="0.3">
      <c r="B107" s="3">
        <v>46142</v>
      </c>
      <c r="C107" s="4">
        <v>4</v>
      </c>
      <c r="D107" s="4">
        <v>9</v>
      </c>
      <c r="E107" s="4">
        <v>-5</v>
      </c>
      <c r="F107" s="4">
        <v>48</v>
      </c>
      <c r="G107" s="4">
        <v>54</v>
      </c>
      <c r="H107" s="4">
        <v>4600</v>
      </c>
      <c r="I107" s="4">
        <v>25131</v>
      </c>
      <c r="J107" s="4">
        <v>17592</v>
      </c>
      <c r="K107" s="4">
        <f t="shared" si="12"/>
        <v>42723</v>
      </c>
      <c r="L107" s="5">
        <f t="shared" si="13"/>
        <v>523.5625</v>
      </c>
      <c r="M107" s="4">
        <f t="shared" si="13"/>
        <v>325.77777777777777</v>
      </c>
      <c r="N107" s="10">
        <f t="shared" si="14"/>
        <v>1.4285470668485676</v>
      </c>
    </row>
    <row r="108" spans="2:14" x14ac:dyDescent="0.3">
      <c r="B108" s="3">
        <v>46173</v>
      </c>
      <c r="C108" s="4">
        <v>7</v>
      </c>
      <c r="D108" s="4">
        <v>3</v>
      </c>
      <c r="E108" s="4">
        <v>4</v>
      </c>
      <c r="F108" s="4">
        <v>53</v>
      </c>
      <c r="G108" s="4">
        <v>87</v>
      </c>
      <c r="H108" s="4">
        <v>6200</v>
      </c>
      <c r="I108" s="4">
        <v>30531</v>
      </c>
      <c r="J108" s="4">
        <v>90635</v>
      </c>
      <c r="K108" s="4">
        <f t="shared" si="12"/>
        <v>121166</v>
      </c>
      <c r="L108" s="5">
        <f t="shared" si="13"/>
        <v>576.05660377358492</v>
      </c>
      <c r="M108" s="4">
        <f t="shared" si="13"/>
        <v>1041.7816091954023</v>
      </c>
      <c r="N108" s="10">
        <f t="shared" si="14"/>
        <v>0.33685662271749323</v>
      </c>
    </row>
    <row r="109" spans="2:14" ht="15.6" x14ac:dyDescent="0.3">
      <c r="B109" s="6" t="s">
        <v>12</v>
      </c>
      <c r="C109" s="7">
        <v>30</v>
      </c>
      <c r="D109" s="7">
        <v>41</v>
      </c>
      <c r="E109" s="7">
        <v>-11</v>
      </c>
      <c r="F109" s="7">
        <v>781</v>
      </c>
      <c r="G109" s="7">
        <v>216</v>
      </c>
      <c r="H109" s="7">
        <v>25201</v>
      </c>
      <c r="I109" s="7">
        <v>388513</v>
      </c>
      <c r="J109" s="7">
        <v>249132</v>
      </c>
      <c r="K109" s="7">
        <f>SUM(K92:K108)</f>
        <v>637645</v>
      </c>
      <c r="L109" s="8">
        <f t="shared" si="13"/>
        <v>497.45582586427656</v>
      </c>
      <c r="M109" s="7">
        <f t="shared" si="13"/>
        <v>1153.3888888888889</v>
      </c>
      <c r="N109" s="11">
        <f t="shared" si="14"/>
        <v>1.559466467575422</v>
      </c>
    </row>
    <row r="113" spans="2:14" ht="23.4" x14ac:dyDescent="0.45">
      <c r="B113" s="1" t="s">
        <v>17</v>
      </c>
    </row>
    <row r="114" spans="2:14" ht="72" x14ac:dyDescent="0.3">
      <c r="B114" s="2" t="s">
        <v>1</v>
      </c>
      <c r="C114" s="2" t="s">
        <v>2</v>
      </c>
      <c r="D114" s="2" t="s">
        <v>3</v>
      </c>
      <c r="E114" s="2" t="s">
        <v>4</v>
      </c>
      <c r="F114" s="2" t="s">
        <v>5</v>
      </c>
      <c r="G114" s="2" t="s">
        <v>6</v>
      </c>
      <c r="H114" s="2" t="s">
        <v>7</v>
      </c>
      <c r="I114" s="2" t="s">
        <v>8</v>
      </c>
      <c r="J114" s="2" t="s">
        <v>9</v>
      </c>
      <c r="K114" s="2" t="s">
        <v>10</v>
      </c>
      <c r="L114" s="2" t="s">
        <v>11</v>
      </c>
      <c r="M114" s="2"/>
      <c r="N114" s="2"/>
    </row>
    <row r="115" spans="2:14" x14ac:dyDescent="0.3">
      <c r="B115" s="3">
        <v>45688</v>
      </c>
      <c r="C115" s="4">
        <v>0</v>
      </c>
      <c r="D115" s="4">
        <v>1</v>
      </c>
      <c r="E115" s="4">
        <v>-1</v>
      </c>
      <c r="F115" s="4">
        <v>100</v>
      </c>
      <c r="G115" s="4">
        <v>0</v>
      </c>
      <c r="H115" s="4">
        <v>0</v>
      </c>
      <c r="I115" s="4">
        <v>61430</v>
      </c>
      <c r="J115" s="4">
        <v>0</v>
      </c>
      <c r="K115" s="4">
        <f>I115+J115</f>
        <v>61430</v>
      </c>
      <c r="L115" s="5">
        <f>I115/F115</f>
        <v>614.29999999999995</v>
      </c>
    </row>
    <row r="116" spans="2:14" x14ac:dyDescent="0.3">
      <c r="B116" s="3">
        <v>45716</v>
      </c>
      <c r="C116" s="4">
        <v>0</v>
      </c>
      <c r="D116" s="4">
        <v>2</v>
      </c>
      <c r="E116" s="4">
        <v>-2</v>
      </c>
      <c r="F116" s="4">
        <v>98</v>
      </c>
      <c r="G116" s="4">
        <v>0</v>
      </c>
      <c r="H116" s="4">
        <v>0</v>
      </c>
      <c r="I116" s="4">
        <v>61030</v>
      </c>
      <c r="J116" s="4">
        <v>0</v>
      </c>
      <c r="K116" s="4">
        <f t="shared" ref="K116:K131" si="15">I116+J116</f>
        <v>61030</v>
      </c>
      <c r="L116" s="5">
        <f t="shared" ref="L116:L132" si="16">I116/F116</f>
        <v>622.75510204081638</v>
      </c>
    </row>
    <row r="117" spans="2:14" x14ac:dyDescent="0.3">
      <c r="B117" s="3">
        <v>45747</v>
      </c>
      <c r="C117" s="4">
        <v>1</v>
      </c>
      <c r="D117" s="4">
        <v>0</v>
      </c>
      <c r="E117" s="4">
        <v>1</v>
      </c>
      <c r="F117" s="4">
        <v>98</v>
      </c>
      <c r="G117" s="4">
        <v>0</v>
      </c>
      <c r="H117" s="4">
        <v>888</v>
      </c>
      <c r="I117" s="4">
        <v>61618</v>
      </c>
      <c r="J117" s="4">
        <v>0</v>
      </c>
      <c r="K117" s="4">
        <f t="shared" si="15"/>
        <v>61618</v>
      </c>
      <c r="L117" s="5">
        <f t="shared" si="16"/>
        <v>628.75510204081638</v>
      </c>
    </row>
    <row r="118" spans="2:14" x14ac:dyDescent="0.3">
      <c r="B118" s="3">
        <v>45777</v>
      </c>
      <c r="C118" s="4">
        <v>1</v>
      </c>
      <c r="D118" s="4">
        <v>3</v>
      </c>
      <c r="E118" s="4">
        <v>-2</v>
      </c>
      <c r="F118" s="4">
        <v>98</v>
      </c>
      <c r="G118" s="4">
        <v>0</v>
      </c>
      <c r="H118" s="4">
        <v>750</v>
      </c>
      <c r="I118" s="4">
        <v>62268</v>
      </c>
      <c r="J118" s="4">
        <v>0</v>
      </c>
      <c r="K118" s="4">
        <f t="shared" si="15"/>
        <v>62268</v>
      </c>
      <c r="L118" s="5">
        <f t="shared" si="16"/>
        <v>635.38775510204084</v>
      </c>
    </row>
    <row r="119" spans="2:14" x14ac:dyDescent="0.3">
      <c r="B119" s="3">
        <v>45808</v>
      </c>
      <c r="C119" s="4">
        <v>0</v>
      </c>
      <c r="D119" s="4">
        <v>1</v>
      </c>
      <c r="E119" s="4">
        <v>-1</v>
      </c>
      <c r="F119" s="4">
        <v>97</v>
      </c>
      <c r="G119" s="4">
        <v>0</v>
      </c>
      <c r="H119" s="4">
        <v>0</v>
      </c>
      <c r="I119" s="4">
        <v>61468</v>
      </c>
      <c r="J119" s="4">
        <v>0</v>
      </c>
      <c r="K119" s="4">
        <f t="shared" si="15"/>
        <v>61468</v>
      </c>
      <c r="L119" s="5">
        <f t="shared" si="16"/>
        <v>633.69072164948454</v>
      </c>
    </row>
    <row r="120" spans="2:14" x14ac:dyDescent="0.3">
      <c r="B120" s="3">
        <v>45838</v>
      </c>
      <c r="C120" s="4">
        <v>0</v>
      </c>
      <c r="D120" s="4">
        <v>0</v>
      </c>
      <c r="E120" s="4">
        <v>0</v>
      </c>
      <c r="F120" s="4">
        <v>95</v>
      </c>
      <c r="G120" s="4">
        <v>0</v>
      </c>
      <c r="H120" s="4">
        <v>0</v>
      </c>
      <c r="I120" s="4">
        <v>60868</v>
      </c>
      <c r="J120" s="4">
        <v>0</v>
      </c>
      <c r="K120" s="4">
        <f t="shared" si="15"/>
        <v>60868</v>
      </c>
      <c r="L120" s="5">
        <f t="shared" si="16"/>
        <v>640.71578947368425</v>
      </c>
    </row>
    <row r="121" spans="2:14" x14ac:dyDescent="0.3">
      <c r="B121" s="3">
        <v>45869</v>
      </c>
      <c r="C121" s="4">
        <v>1</v>
      </c>
      <c r="D121" s="4">
        <v>2</v>
      </c>
      <c r="E121" s="4">
        <v>-1</v>
      </c>
      <c r="F121" s="4">
        <v>96</v>
      </c>
      <c r="G121" s="4">
        <v>0</v>
      </c>
      <c r="H121" s="4">
        <v>25000</v>
      </c>
      <c r="I121" s="4">
        <v>86318</v>
      </c>
      <c r="J121" s="4">
        <v>0</v>
      </c>
      <c r="K121" s="4">
        <f t="shared" si="15"/>
        <v>86318</v>
      </c>
      <c r="L121" s="5">
        <f t="shared" si="16"/>
        <v>899.14583333333337</v>
      </c>
    </row>
    <row r="122" spans="2:14" x14ac:dyDescent="0.3">
      <c r="B122" s="3">
        <v>45900</v>
      </c>
      <c r="C122" s="4">
        <v>0</v>
      </c>
      <c r="D122" s="4">
        <v>4</v>
      </c>
      <c r="E122" s="4">
        <v>-4</v>
      </c>
      <c r="F122" s="4">
        <v>90</v>
      </c>
      <c r="G122" s="4">
        <v>0</v>
      </c>
      <c r="H122" s="4">
        <v>0</v>
      </c>
      <c r="I122" s="4">
        <v>84918</v>
      </c>
      <c r="J122" s="4">
        <v>0</v>
      </c>
      <c r="K122" s="4">
        <f t="shared" si="15"/>
        <v>84918</v>
      </c>
      <c r="L122" s="5">
        <f t="shared" si="16"/>
        <v>943.5333333333333</v>
      </c>
    </row>
    <row r="123" spans="2:14" x14ac:dyDescent="0.3">
      <c r="B123" s="3">
        <v>45930</v>
      </c>
      <c r="C123" s="4">
        <v>0</v>
      </c>
      <c r="D123" s="4">
        <v>2</v>
      </c>
      <c r="E123" s="4">
        <v>-2</v>
      </c>
      <c r="F123" s="4">
        <v>92</v>
      </c>
      <c r="G123" s="4">
        <v>0</v>
      </c>
      <c r="H123" s="4">
        <v>0</v>
      </c>
      <c r="I123" s="4">
        <v>85418</v>
      </c>
      <c r="J123" s="4">
        <v>0</v>
      </c>
      <c r="K123" s="4">
        <f t="shared" si="15"/>
        <v>85418</v>
      </c>
      <c r="L123" s="5">
        <f t="shared" si="16"/>
        <v>928.45652173913038</v>
      </c>
    </row>
    <row r="124" spans="2:14" x14ac:dyDescent="0.3">
      <c r="B124" s="3">
        <v>45961</v>
      </c>
      <c r="C124" s="4">
        <v>0</v>
      </c>
      <c r="D124" s="4">
        <v>4</v>
      </c>
      <c r="E124" s="4">
        <v>-4</v>
      </c>
      <c r="F124" s="4">
        <v>88</v>
      </c>
      <c r="G124" s="4">
        <v>0</v>
      </c>
      <c r="H124" s="4">
        <v>0</v>
      </c>
      <c r="I124" s="4">
        <v>85618</v>
      </c>
      <c r="J124" s="4">
        <v>0</v>
      </c>
      <c r="K124" s="4">
        <f t="shared" si="15"/>
        <v>85618</v>
      </c>
      <c r="L124" s="5">
        <f t="shared" si="16"/>
        <v>972.93181818181813</v>
      </c>
    </row>
    <row r="125" spans="2:14" x14ac:dyDescent="0.3">
      <c r="B125" s="3">
        <v>45991</v>
      </c>
      <c r="C125" s="4">
        <v>1</v>
      </c>
      <c r="D125" s="4">
        <v>2</v>
      </c>
      <c r="E125" s="4">
        <v>-1</v>
      </c>
      <c r="F125" s="4">
        <v>90</v>
      </c>
      <c r="G125" s="4">
        <v>0</v>
      </c>
      <c r="H125" s="4">
        <v>300</v>
      </c>
      <c r="I125" s="4">
        <v>85318</v>
      </c>
      <c r="J125" s="4">
        <v>0</v>
      </c>
      <c r="K125" s="4">
        <f t="shared" si="15"/>
        <v>85318</v>
      </c>
      <c r="L125" s="5">
        <f t="shared" si="16"/>
        <v>947.97777777777776</v>
      </c>
    </row>
    <row r="126" spans="2:14" x14ac:dyDescent="0.3">
      <c r="B126" s="3">
        <v>46022</v>
      </c>
      <c r="C126" s="4">
        <v>0</v>
      </c>
      <c r="D126" s="4">
        <v>5</v>
      </c>
      <c r="E126" s="4">
        <v>-5</v>
      </c>
      <c r="F126" s="4">
        <v>85</v>
      </c>
      <c r="G126" s="4">
        <v>0</v>
      </c>
      <c r="H126" s="4">
        <v>0</v>
      </c>
      <c r="I126" s="4">
        <v>84318</v>
      </c>
      <c r="J126" s="4">
        <v>0</v>
      </c>
      <c r="K126" s="4">
        <f t="shared" si="15"/>
        <v>84318</v>
      </c>
      <c r="L126" s="5">
        <f t="shared" si="16"/>
        <v>991.97647058823532</v>
      </c>
    </row>
    <row r="127" spans="2:14" x14ac:dyDescent="0.3">
      <c r="B127" s="3">
        <v>46053</v>
      </c>
      <c r="C127" s="4">
        <v>0</v>
      </c>
      <c r="D127" s="4">
        <v>6</v>
      </c>
      <c r="E127" s="4">
        <v>-6</v>
      </c>
      <c r="F127" s="4">
        <v>81</v>
      </c>
      <c r="G127" s="4">
        <v>0</v>
      </c>
      <c r="H127" s="4">
        <v>0</v>
      </c>
      <c r="I127" s="4">
        <v>82718</v>
      </c>
      <c r="J127" s="4">
        <v>0</v>
      </c>
      <c r="K127" s="4">
        <f t="shared" si="15"/>
        <v>82718</v>
      </c>
      <c r="L127" s="5">
        <f t="shared" si="16"/>
        <v>1021.2098765432099</v>
      </c>
    </row>
    <row r="128" spans="2:14" x14ac:dyDescent="0.3">
      <c r="B128" s="3">
        <v>46081</v>
      </c>
      <c r="C128" s="4">
        <v>0</v>
      </c>
      <c r="D128" s="4">
        <v>6</v>
      </c>
      <c r="E128" s="4">
        <v>-6</v>
      </c>
      <c r="F128" s="4">
        <v>69</v>
      </c>
      <c r="G128" s="4">
        <v>0</v>
      </c>
      <c r="H128" s="4">
        <v>0</v>
      </c>
      <c r="I128" s="4">
        <v>30630</v>
      </c>
      <c r="J128" s="4">
        <v>0</v>
      </c>
      <c r="K128" s="4">
        <f t="shared" si="15"/>
        <v>30630</v>
      </c>
      <c r="L128" s="5">
        <f t="shared" si="16"/>
        <v>443.91304347826087</v>
      </c>
    </row>
    <row r="129" spans="2:12" x14ac:dyDescent="0.3">
      <c r="B129" s="3">
        <v>46112</v>
      </c>
      <c r="C129" s="4">
        <v>0</v>
      </c>
      <c r="D129" s="4">
        <v>0</v>
      </c>
      <c r="E129" s="4">
        <v>0</v>
      </c>
      <c r="F129" s="4">
        <v>73</v>
      </c>
      <c r="G129" s="4">
        <v>0</v>
      </c>
      <c r="H129" s="4">
        <v>0</v>
      </c>
      <c r="I129" s="4">
        <v>30630</v>
      </c>
      <c r="J129" s="4">
        <v>0</v>
      </c>
      <c r="K129" s="4">
        <f t="shared" si="15"/>
        <v>30630</v>
      </c>
      <c r="L129" s="5">
        <f t="shared" si="16"/>
        <v>419.58904109589042</v>
      </c>
    </row>
    <row r="130" spans="2:12" x14ac:dyDescent="0.3">
      <c r="B130" s="3">
        <v>46142</v>
      </c>
      <c r="C130" s="4">
        <v>0</v>
      </c>
      <c r="D130" s="4">
        <v>10</v>
      </c>
      <c r="E130" s="4">
        <v>-10</v>
      </c>
      <c r="F130" s="4">
        <v>71</v>
      </c>
      <c r="G130" s="4">
        <v>0</v>
      </c>
      <c r="H130" s="4">
        <v>0</v>
      </c>
      <c r="I130" s="4">
        <v>30330</v>
      </c>
      <c r="J130" s="4">
        <v>0</v>
      </c>
      <c r="K130" s="4">
        <f t="shared" si="15"/>
        <v>30330</v>
      </c>
      <c r="L130" s="5">
        <f t="shared" si="16"/>
        <v>427.18309859154931</v>
      </c>
    </row>
    <row r="131" spans="2:12" x14ac:dyDescent="0.3">
      <c r="B131" s="3">
        <v>46173</v>
      </c>
      <c r="C131" s="4">
        <v>0</v>
      </c>
      <c r="D131" s="4">
        <v>6</v>
      </c>
      <c r="E131" s="4">
        <v>-6</v>
      </c>
      <c r="F131" s="4">
        <v>64</v>
      </c>
      <c r="G131" s="4">
        <v>2</v>
      </c>
      <c r="H131" s="4">
        <v>0</v>
      </c>
      <c r="I131" s="4">
        <v>26680</v>
      </c>
      <c r="J131" s="4">
        <v>1300</v>
      </c>
      <c r="K131" s="4">
        <f t="shared" si="15"/>
        <v>27980</v>
      </c>
      <c r="L131" s="5">
        <f t="shared" si="16"/>
        <v>416.875</v>
      </c>
    </row>
    <row r="132" spans="2:12" ht="15.6" x14ac:dyDescent="0.3">
      <c r="B132" s="6" t="s">
        <v>12</v>
      </c>
      <c r="C132" s="7">
        <v>4</v>
      </c>
      <c r="D132" s="7">
        <v>54</v>
      </c>
      <c r="E132" s="7">
        <v>-50</v>
      </c>
      <c r="F132" s="7">
        <v>1485</v>
      </c>
      <c r="G132" s="7">
        <v>2</v>
      </c>
      <c r="H132" s="7">
        <v>26938</v>
      </c>
      <c r="I132" s="7">
        <v>1081578</v>
      </c>
      <c r="J132" s="7">
        <v>1300</v>
      </c>
      <c r="K132" s="7">
        <f>SUM(K115:K131)</f>
        <v>1082878</v>
      </c>
      <c r="L132" s="8">
        <f t="shared" si="16"/>
        <v>728.33535353535353</v>
      </c>
    </row>
    <row r="135" spans="2:12" ht="23.4" x14ac:dyDescent="0.45">
      <c r="B135" s="1" t="s">
        <v>18</v>
      </c>
    </row>
    <row r="136" spans="2:12" ht="72" x14ac:dyDescent="0.3">
      <c r="B136" s="2" t="s">
        <v>1</v>
      </c>
      <c r="C136" s="2" t="s">
        <v>2</v>
      </c>
      <c r="D136" s="2" t="s">
        <v>3</v>
      </c>
      <c r="E136" s="2" t="s">
        <v>4</v>
      </c>
      <c r="F136" s="2" t="s">
        <v>5</v>
      </c>
      <c r="G136" s="2" t="s">
        <v>6</v>
      </c>
      <c r="H136" s="2" t="s">
        <v>7</v>
      </c>
      <c r="I136" s="2" t="s">
        <v>8</v>
      </c>
      <c r="J136" s="2" t="s">
        <v>9</v>
      </c>
      <c r="K136" s="2" t="s">
        <v>10</v>
      </c>
      <c r="L136" s="2" t="s">
        <v>11</v>
      </c>
    </row>
    <row r="137" spans="2:12" x14ac:dyDescent="0.3">
      <c r="B137" s="9">
        <v>45688</v>
      </c>
      <c r="C137" s="4">
        <v>0</v>
      </c>
      <c r="D137" s="4">
        <v>2</v>
      </c>
      <c r="E137" s="4">
        <v>-2</v>
      </c>
      <c r="F137" s="4">
        <v>108</v>
      </c>
      <c r="G137" s="4">
        <v>0</v>
      </c>
      <c r="H137" s="4">
        <v>0</v>
      </c>
      <c r="I137" s="4">
        <v>104650</v>
      </c>
      <c r="J137" s="4">
        <v>0</v>
      </c>
      <c r="K137" s="4">
        <f>I137+J137</f>
        <v>104650</v>
      </c>
      <c r="L137" s="5">
        <f>I137/F137</f>
        <v>968.98148148148152</v>
      </c>
    </row>
    <row r="138" spans="2:12" x14ac:dyDescent="0.3">
      <c r="B138" s="9">
        <v>45716</v>
      </c>
      <c r="C138" s="4">
        <v>0</v>
      </c>
      <c r="D138" s="4">
        <v>3</v>
      </c>
      <c r="E138" s="4">
        <v>-3</v>
      </c>
      <c r="F138" s="4">
        <v>105</v>
      </c>
      <c r="G138" s="4">
        <v>0</v>
      </c>
      <c r="H138" s="4">
        <v>0</v>
      </c>
      <c r="I138" s="4">
        <v>101550</v>
      </c>
      <c r="J138" s="4">
        <v>0</v>
      </c>
      <c r="K138" s="4">
        <f t="shared" ref="K138:K153" si="17">I138+J138</f>
        <v>101550</v>
      </c>
      <c r="L138" s="5">
        <f t="shared" ref="L138:L153" si="18">I138/F138</f>
        <v>967.14285714285711</v>
      </c>
    </row>
    <row r="139" spans="2:12" x14ac:dyDescent="0.3">
      <c r="B139" s="9">
        <v>45747</v>
      </c>
      <c r="C139" s="4">
        <v>2</v>
      </c>
      <c r="D139" s="4">
        <v>4</v>
      </c>
      <c r="E139" s="4">
        <v>-2</v>
      </c>
      <c r="F139" s="4">
        <v>103</v>
      </c>
      <c r="G139" s="4">
        <v>0</v>
      </c>
      <c r="H139" s="4">
        <v>3000</v>
      </c>
      <c r="I139" s="4">
        <v>103400</v>
      </c>
      <c r="J139" s="4">
        <v>0</v>
      </c>
      <c r="K139" s="4">
        <f t="shared" si="17"/>
        <v>103400</v>
      </c>
      <c r="L139" s="5">
        <f t="shared" si="18"/>
        <v>1003.8834951456311</v>
      </c>
    </row>
    <row r="140" spans="2:12" x14ac:dyDescent="0.3">
      <c r="B140" s="9">
        <v>45777</v>
      </c>
      <c r="C140" s="4">
        <v>2</v>
      </c>
      <c r="D140" s="4">
        <v>0</v>
      </c>
      <c r="E140" s="4">
        <v>2</v>
      </c>
      <c r="F140" s="4">
        <v>104</v>
      </c>
      <c r="G140" s="4">
        <v>0</v>
      </c>
      <c r="H140" s="4">
        <v>1150</v>
      </c>
      <c r="I140" s="4">
        <v>102550</v>
      </c>
      <c r="J140" s="4">
        <v>0</v>
      </c>
      <c r="K140" s="4">
        <f t="shared" si="17"/>
        <v>102550</v>
      </c>
      <c r="L140" s="5">
        <f t="shared" si="18"/>
        <v>986.05769230769226</v>
      </c>
    </row>
    <row r="141" spans="2:12" x14ac:dyDescent="0.3">
      <c r="B141" s="9">
        <v>45808</v>
      </c>
      <c r="C141" s="4">
        <v>2</v>
      </c>
      <c r="D141" s="4">
        <v>1</v>
      </c>
      <c r="E141" s="4">
        <v>1</v>
      </c>
      <c r="F141" s="4">
        <v>105</v>
      </c>
      <c r="G141" s="4">
        <v>0</v>
      </c>
      <c r="H141" s="4">
        <v>6000</v>
      </c>
      <c r="I141" s="4">
        <v>109050</v>
      </c>
      <c r="J141" s="4">
        <v>0</v>
      </c>
      <c r="K141" s="4">
        <f t="shared" si="17"/>
        <v>109050</v>
      </c>
      <c r="L141" s="5">
        <f t="shared" si="18"/>
        <v>1038.5714285714287</v>
      </c>
    </row>
    <row r="142" spans="2:12" x14ac:dyDescent="0.3">
      <c r="B142" s="9">
        <v>45838</v>
      </c>
      <c r="C142" s="4">
        <v>2</v>
      </c>
      <c r="D142" s="4">
        <v>1</v>
      </c>
      <c r="E142" s="4">
        <v>1</v>
      </c>
      <c r="F142" s="4">
        <v>106</v>
      </c>
      <c r="G142" s="4">
        <v>0</v>
      </c>
      <c r="H142" s="4">
        <v>2300</v>
      </c>
      <c r="I142" s="4">
        <v>119050</v>
      </c>
      <c r="J142" s="4">
        <v>0</v>
      </c>
      <c r="K142" s="4">
        <f t="shared" si="17"/>
        <v>119050</v>
      </c>
      <c r="L142" s="5">
        <f t="shared" si="18"/>
        <v>1123.1132075471698</v>
      </c>
    </row>
    <row r="143" spans="2:12" x14ac:dyDescent="0.3">
      <c r="B143" s="9">
        <v>45869</v>
      </c>
      <c r="C143" s="4">
        <v>2</v>
      </c>
      <c r="D143" s="4">
        <v>5</v>
      </c>
      <c r="E143" s="4">
        <v>-3</v>
      </c>
      <c r="F143" s="4">
        <v>101</v>
      </c>
      <c r="G143" s="4">
        <v>0</v>
      </c>
      <c r="H143" s="4">
        <v>7000</v>
      </c>
      <c r="I143" s="4">
        <v>116050</v>
      </c>
      <c r="J143" s="4">
        <v>0</v>
      </c>
      <c r="K143" s="4">
        <f t="shared" si="17"/>
        <v>116050</v>
      </c>
      <c r="L143" s="5">
        <f t="shared" si="18"/>
        <v>1149.0099009900989</v>
      </c>
    </row>
    <row r="144" spans="2:12" x14ac:dyDescent="0.3">
      <c r="B144" s="9">
        <v>45900</v>
      </c>
      <c r="C144" s="4">
        <v>0</v>
      </c>
      <c r="D144" s="4">
        <v>2</v>
      </c>
      <c r="E144" s="4">
        <v>-2</v>
      </c>
      <c r="F144" s="4">
        <v>100</v>
      </c>
      <c r="G144" s="4">
        <v>0</v>
      </c>
      <c r="H144" s="4">
        <v>0</v>
      </c>
      <c r="I144" s="4">
        <v>115550</v>
      </c>
      <c r="J144" s="4">
        <v>0</v>
      </c>
      <c r="K144" s="4">
        <f t="shared" si="17"/>
        <v>115550</v>
      </c>
      <c r="L144" s="5">
        <f t="shared" si="18"/>
        <v>1155.5</v>
      </c>
    </row>
    <row r="145" spans="2:12" x14ac:dyDescent="0.3">
      <c r="B145" s="9">
        <v>45930</v>
      </c>
      <c r="C145" s="4">
        <v>0</v>
      </c>
      <c r="D145" s="4">
        <v>7</v>
      </c>
      <c r="E145" s="4">
        <v>-7</v>
      </c>
      <c r="F145" s="4">
        <v>93</v>
      </c>
      <c r="G145" s="4">
        <v>0</v>
      </c>
      <c r="H145" s="4">
        <v>0</v>
      </c>
      <c r="I145" s="4">
        <v>111250</v>
      </c>
      <c r="J145" s="4">
        <v>0</v>
      </c>
      <c r="K145" s="4">
        <f t="shared" si="17"/>
        <v>111250</v>
      </c>
      <c r="L145" s="5">
        <f t="shared" si="18"/>
        <v>1196.236559139785</v>
      </c>
    </row>
    <row r="146" spans="2:12" x14ac:dyDescent="0.3">
      <c r="B146" s="9">
        <v>45961</v>
      </c>
      <c r="C146" s="4">
        <v>0</v>
      </c>
      <c r="D146" s="4">
        <v>2</v>
      </c>
      <c r="E146" s="4">
        <v>-2</v>
      </c>
      <c r="F146" s="4">
        <v>90</v>
      </c>
      <c r="G146" s="4">
        <v>0</v>
      </c>
      <c r="H146" s="4">
        <v>0</v>
      </c>
      <c r="I146" s="4">
        <v>110350</v>
      </c>
      <c r="J146" s="4">
        <v>0</v>
      </c>
      <c r="K146" s="4">
        <f t="shared" si="17"/>
        <v>110350</v>
      </c>
      <c r="L146" s="5">
        <f t="shared" si="18"/>
        <v>1226.1111111111111</v>
      </c>
    </row>
    <row r="147" spans="2:12" x14ac:dyDescent="0.3">
      <c r="B147" s="9">
        <v>45991</v>
      </c>
      <c r="C147" s="4">
        <v>0</v>
      </c>
      <c r="D147" s="4">
        <v>4</v>
      </c>
      <c r="E147" s="4">
        <v>-4</v>
      </c>
      <c r="F147" s="4">
        <v>85</v>
      </c>
      <c r="G147" s="4">
        <v>0</v>
      </c>
      <c r="H147" s="4">
        <v>0</v>
      </c>
      <c r="I147" s="4">
        <v>99450</v>
      </c>
      <c r="J147" s="4">
        <v>0</v>
      </c>
      <c r="K147" s="4">
        <f t="shared" si="17"/>
        <v>99450</v>
      </c>
      <c r="L147" s="5">
        <f t="shared" si="18"/>
        <v>1170</v>
      </c>
    </row>
    <row r="148" spans="2:12" x14ac:dyDescent="0.3">
      <c r="B148" s="9">
        <v>46022</v>
      </c>
      <c r="C148" s="4">
        <v>0</v>
      </c>
      <c r="D148" s="4">
        <v>2</v>
      </c>
      <c r="E148" s="4">
        <v>-2</v>
      </c>
      <c r="F148" s="4">
        <v>85</v>
      </c>
      <c r="G148" s="4">
        <v>0</v>
      </c>
      <c r="H148" s="4">
        <v>0</v>
      </c>
      <c r="I148" s="4">
        <v>99350</v>
      </c>
      <c r="J148" s="4">
        <v>0</v>
      </c>
      <c r="K148" s="4">
        <f t="shared" si="17"/>
        <v>99350</v>
      </c>
      <c r="L148" s="5">
        <f t="shared" si="18"/>
        <v>1168.8235294117646</v>
      </c>
    </row>
    <row r="149" spans="2:12" x14ac:dyDescent="0.3">
      <c r="B149" s="9">
        <v>46053</v>
      </c>
      <c r="C149" s="4">
        <v>0</v>
      </c>
      <c r="D149" s="4">
        <v>2</v>
      </c>
      <c r="E149" s="4">
        <v>-2</v>
      </c>
      <c r="F149" s="4">
        <v>82</v>
      </c>
      <c r="G149" s="4">
        <v>0</v>
      </c>
      <c r="H149" s="4">
        <v>0</v>
      </c>
      <c r="I149" s="4">
        <v>97550</v>
      </c>
      <c r="J149" s="4">
        <v>0</v>
      </c>
      <c r="K149" s="4">
        <f t="shared" si="17"/>
        <v>97550</v>
      </c>
      <c r="L149" s="5">
        <f t="shared" si="18"/>
        <v>1189.6341463414635</v>
      </c>
    </row>
    <row r="150" spans="2:12" x14ac:dyDescent="0.3">
      <c r="B150" s="9">
        <v>46081</v>
      </c>
      <c r="C150" s="4">
        <v>1</v>
      </c>
      <c r="D150" s="4">
        <v>3</v>
      </c>
      <c r="E150" s="4">
        <v>-2</v>
      </c>
      <c r="F150" s="4">
        <v>74</v>
      </c>
      <c r="G150" s="4">
        <v>0</v>
      </c>
      <c r="H150" s="4">
        <v>500</v>
      </c>
      <c r="I150" s="4">
        <v>46550</v>
      </c>
      <c r="J150" s="4">
        <v>0</v>
      </c>
      <c r="K150" s="4">
        <f t="shared" si="17"/>
        <v>46550</v>
      </c>
      <c r="L150" s="5">
        <f t="shared" si="18"/>
        <v>629.05405405405406</v>
      </c>
    </row>
    <row r="151" spans="2:12" x14ac:dyDescent="0.3">
      <c r="B151" s="9">
        <v>46112</v>
      </c>
      <c r="C151" s="4">
        <v>0</v>
      </c>
      <c r="D151" s="4">
        <v>3</v>
      </c>
      <c r="E151" s="4">
        <v>-3</v>
      </c>
      <c r="F151" s="4">
        <v>76</v>
      </c>
      <c r="G151" s="4">
        <v>0</v>
      </c>
      <c r="H151" s="4">
        <v>0</v>
      </c>
      <c r="I151" s="4">
        <v>93750</v>
      </c>
      <c r="J151" s="4">
        <v>0</v>
      </c>
      <c r="K151" s="4">
        <f t="shared" si="17"/>
        <v>93750</v>
      </c>
      <c r="L151" s="5">
        <f t="shared" si="18"/>
        <v>1233.5526315789473</v>
      </c>
    </row>
    <row r="152" spans="2:12" x14ac:dyDescent="0.3">
      <c r="B152" s="9">
        <v>46142</v>
      </c>
      <c r="C152" s="4">
        <v>0</v>
      </c>
      <c r="D152" s="4">
        <v>8</v>
      </c>
      <c r="E152" s="4">
        <v>-8</v>
      </c>
      <c r="F152" s="4">
        <v>72</v>
      </c>
      <c r="G152" s="4">
        <v>0</v>
      </c>
      <c r="H152" s="4">
        <v>0</v>
      </c>
      <c r="I152" s="4">
        <v>92050</v>
      </c>
      <c r="J152" s="4">
        <v>0</v>
      </c>
      <c r="K152" s="4">
        <f t="shared" si="17"/>
        <v>92050</v>
      </c>
      <c r="L152" s="5">
        <f t="shared" si="18"/>
        <v>1278.4722222222222</v>
      </c>
    </row>
    <row r="153" spans="2:12" x14ac:dyDescent="0.3">
      <c r="B153" s="9">
        <v>46173</v>
      </c>
      <c r="C153" s="4">
        <v>0</v>
      </c>
      <c r="D153" s="4">
        <v>3</v>
      </c>
      <c r="E153" s="4">
        <v>-3</v>
      </c>
      <c r="F153" s="4">
        <v>71</v>
      </c>
      <c r="G153" s="4">
        <v>0</v>
      </c>
      <c r="H153" s="4">
        <v>0</v>
      </c>
      <c r="I153" s="4">
        <v>92450</v>
      </c>
      <c r="J153" s="4">
        <v>0</v>
      </c>
      <c r="K153" s="4">
        <f t="shared" si="17"/>
        <v>92450</v>
      </c>
      <c r="L153" s="5">
        <f>I153/F153</f>
        <v>1302.1126760563379</v>
      </c>
    </row>
    <row r="154" spans="2:12" ht="15.6" x14ac:dyDescent="0.3">
      <c r="B154" s="6" t="s">
        <v>12</v>
      </c>
      <c r="C154" s="7">
        <v>11</v>
      </c>
      <c r="D154" s="7">
        <v>52</v>
      </c>
      <c r="E154" s="7">
        <v>-41</v>
      </c>
      <c r="F154" s="7">
        <v>1560</v>
      </c>
      <c r="G154" s="7">
        <v>0</v>
      </c>
      <c r="H154" s="7">
        <v>19950</v>
      </c>
      <c r="I154" s="7">
        <v>1714600</v>
      </c>
      <c r="J154" s="7">
        <v>0</v>
      </c>
      <c r="K154" s="7">
        <f>SUM(K137:K153)</f>
        <v>1714600</v>
      </c>
      <c r="L154" s="8">
        <f>I154/F154</f>
        <v>1099.1025641025642</v>
      </c>
    </row>
    <row r="157" spans="2:12" ht="23.4" x14ac:dyDescent="0.45">
      <c r="B157" s="1" t="s">
        <v>19</v>
      </c>
    </row>
    <row r="158" spans="2:12" ht="72" x14ac:dyDescent="0.3">
      <c r="B158" s="2" t="s">
        <v>1</v>
      </c>
      <c r="C158" s="2" t="s">
        <v>2</v>
      </c>
      <c r="D158" s="2" t="s">
        <v>3</v>
      </c>
      <c r="E158" s="2" t="s">
        <v>4</v>
      </c>
      <c r="F158" s="2" t="s">
        <v>5</v>
      </c>
      <c r="G158" s="2" t="s">
        <v>6</v>
      </c>
      <c r="H158" s="2" t="s">
        <v>7</v>
      </c>
      <c r="I158" s="2" t="s">
        <v>8</v>
      </c>
      <c r="J158" s="2" t="s">
        <v>9</v>
      </c>
      <c r="K158" s="2" t="s">
        <v>10</v>
      </c>
      <c r="L158" s="2" t="s">
        <v>11</v>
      </c>
    </row>
    <row r="159" spans="2:12" x14ac:dyDescent="0.3">
      <c r="B159" s="9">
        <v>45688</v>
      </c>
      <c r="C159" s="4">
        <v>1</v>
      </c>
      <c r="D159" s="4">
        <v>6</v>
      </c>
      <c r="E159" s="4">
        <v>-5</v>
      </c>
      <c r="F159" s="4">
        <v>88</v>
      </c>
      <c r="G159" s="4">
        <v>0</v>
      </c>
      <c r="H159" s="4">
        <v>500</v>
      </c>
      <c r="I159" s="4">
        <v>47200</v>
      </c>
      <c r="J159" s="4">
        <v>0</v>
      </c>
      <c r="K159" s="4">
        <f>I159+J159</f>
        <v>47200</v>
      </c>
      <c r="L159" s="5">
        <f>I159/F159</f>
        <v>536.36363636363637</v>
      </c>
    </row>
    <row r="160" spans="2:12" x14ac:dyDescent="0.3">
      <c r="B160" s="9">
        <v>45716</v>
      </c>
      <c r="C160" s="4">
        <v>0</v>
      </c>
      <c r="D160" s="4">
        <v>2</v>
      </c>
      <c r="E160" s="4">
        <v>-2</v>
      </c>
      <c r="F160" s="4">
        <v>81</v>
      </c>
      <c r="G160" s="4">
        <v>0</v>
      </c>
      <c r="H160" s="4">
        <v>0</v>
      </c>
      <c r="I160" s="4">
        <v>41800</v>
      </c>
      <c r="J160" s="4">
        <v>0</v>
      </c>
      <c r="K160" s="4">
        <f t="shared" ref="K160:K175" si="19">I160+J160</f>
        <v>41800</v>
      </c>
      <c r="L160" s="5">
        <f t="shared" ref="L160:L175" si="20">I160/F160</f>
        <v>516.04938271604942</v>
      </c>
    </row>
    <row r="161" spans="2:12" x14ac:dyDescent="0.3">
      <c r="B161" s="9">
        <v>45747</v>
      </c>
      <c r="C161" s="4">
        <v>0</v>
      </c>
      <c r="D161" s="4">
        <v>0</v>
      </c>
      <c r="E161" s="4">
        <v>0</v>
      </c>
      <c r="F161" s="4">
        <v>79</v>
      </c>
      <c r="G161" s="4">
        <v>0</v>
      </c>
      <c r="H161" s="4">
        <v>0</v>
      </c>
      <c r="I161" s="4">
        <v>40250</v>
      </c>
      <c r="J161" s="4">
        <v>0</v>
      </c>
      <c r="K161" s="4">
        <f t="shared" si="19"/>
        <v>40250</v>
      </c>
      <c r="L161" s="5">
        <f t="shared" si="20"/>
        <v>509.49367088607596</v>
      </c>
    </row>
    <row r="162" spans="2:12" x14ac:dyDescent="0.3">
      <c r="B162" s="9">
        <v>45777</v>
      </c>
      <c r="C162" s="4">
        <v>3</v>
      </c>
      <c r="D162" s="4">
        <v>2</v>
      </c>
      <c r="E162" s="4">
        <v>1</v>
      </c>
      <c r="F162" s="4">
        <v>83</v>
      </c>
      <c r="G162" s="4">
        <v>0</v>
      </c>
      <c r="H162" s="4">
        <v>1850</v>
      </c>
      <c r="I162" s="4">
        <v>42900</v>
      </c>
      <c r="J162" s="4">
        <v>0</v>
      </c>
      <c r="K162" s="4">
        <f t="shared" si="19"/>
        <v>42900</v>
      </c>
      <c r="L162" s="5">
        <f t="shared" si="20"/>
        <v>516.86746987951813</v>
      </c>
    </row>
    <row r="163" spans="2:12" x14ac:dyDescent="0.3">
      <c r="B163" s="9">
        <v>45808</v>
      </c>
      <c r="C163" s="4">
        <v>7</v>
      </c>
      <c r="D163" s="4">
        <v>2</v>
      </c>
      <c r="E163" s="4">
        <v>5</v>
      </c>
      <c r="F163" s="4">
        <v>87</v>
      </c>
      <c r="G163" s="4">
        <v>0</v>
      </c>
      <c r="H163" s="4">
        <v>2950</v>
      </c>
      <c r="I163" s="4">
        <v>43350</v>
      </c>
      <c r="J163" s="4">
        <v>0</v>
      </c>
      <c r="K163" s="4">
        <f t="shared" si="19"/>
        <v>43350</v>
      </c>
      <c r="L163" s="5">
        <f t="shared" si="20"/>
        <v>498.27586206896552</v>
      </c>
    </row>
    <row r="164" spans="2:12" x14ac:dyDescent="0.3">
      <c r="B164" s="9">
        <v>45838</v>
      </c>
      <c r="C164" s="4">
        <v>0</v>
      </c>
      <c r="D164" s="4">
        <v>2</v>
      </c>
      <c r="E164" s="4">
        <v>-2</v>
      </c>
      <c r="F164" s="4">
        <v>89</v>
      </c>
      <c r="G164" s="4">
        <v>0</v>
      </c>
      <c r="H164" s="4">
        <v>0</v>
      </c>
      <c r="I164" s="4">
        <v>44100</v>
      </c>
      <c r="J164" s="4">
        <v>0</v>
      </c>
      <c r="K164" s="4">
        <f t="shared" si="19"/>
        <v>44100</v>
      </c>
      <c r="L164" s="5">
        <f t="shared" si="20"/>
        <v>495.50561797752812</v>
      </c>
    </row>
    <row r="165" spans="2:12" x14ac:dyDescent="0.3">
      <c r="B165" s="9">
        <v>45869</v>
      </c>
      <c r="C165" s="4">
        <v>1</v>
      </c>
      <c r="D165" s="4">
        <v>2</v>
      </c>
      <c r="E165" s="4">
        <v>-1</v>
      </c>
      <c r="F165" s="4">
        <v>86</v>
      </c>
      <c r="G165" s="4">
        <v>0</v>
      </c>
      <c r="H165" s="4">
        <v>2000</v>
      </c>
      <c r="I165" s="4">
        <v>45900</v>
      </c>
      <c r="J165" s="4">
        <v>0</v>
      </c>
      <c r="K165" s="4">
        <f t="shared" si="19"/>
        <v>45900</v>
      </c>
      <c r="L165" s="5">
        <f t="shared" si="20"/>
        <v>533.72093023255809</v>
      </c>
    </row>
    <row r="166" spans="2:12" x14ac:dyDescent="0.3">
      <c r="B166" s="9">
        <v>45900</v>
      </c>
      <c r="C166" s="4">
        <v>0</v>
      </c>
      <c r="D166" s="4">
        <v>2</v>
      </c>
      <c r="E166" s="4">
        <v>-2</v>
      </c>
      <c r="F166" s="4">
        <v>82</v>
      </c>
      <c r="G166" s="4">
        <v>0</v>
      </c>
      <c r="H166" s="4">
        <v>0</v>
      </c>
      <c r="I166" s="4">
        <v>41950</v>
      </c>
      <c r="J166" s="4">
        <v>0</v>
      </c>
      <c r="K166" s="4">
        <f t="shared" si="19"/>
        <v>41950</v>
      </c>
      <c r="L166" s="5">
        <f t="shared" si="20"/>
        <v>511.58536585365852</v>
      </c>
    </row>
    <row r="167" spans="2:12" x14ac:dyDescent="0.3">
      <c r="B167" s="9">
        <v>45930</v>
      </c>
      <c r="C167" s="4">
        <v>10</v>
      </c>
      <c r="D167" s="4">
        <v>3</v>
      </c>
      <c r="E167" s="4">
        <v>7</v>
      </c>
      <c r="F167" s="4">
        <v>90</v>
      </c>
      <c r="G167" s="4">
        <v>37</v>
      </c>
      <c r="H167" s="4">
        <v>5600</v>
      </c>
      <c r="I167" s="4">
        <v>42750</v>
      </c>
      <c r="J167" s="4">
        <v>50854</v>
      </c>
      <c r="K167" s="4">
        <f t="shared" si="19"/>
        <v>93604</v>
      </c>
      <c r="L167" s="5">
        <f t="shared" si="20"/>
        <v>475</v>
      </c>
    </row>
    <row r="168" spans="2:12" x14ac:dyDescent="0.3">
      <c r="B168" s="9">
        <v>45961</v>
      </c>
      <c r="C168" s="4">
        <v>14</v>
      </c>
      <c r="D168" s="4">
        <v>3</v>
      </c>
      <c r="E168" s="4">
        <v>11</v>
      </c>
      <c r="F168" s="4">
        <v>106</v>
      </c>
      <c r="G168" s="4">
        <v>60</v>
      </c>
      <c r="H168" s="4">
        <v>15100</v>
      </c>
      <c r="I168" s="4">
        <v>56150</v>
      </c>
      <c r="J168" s="4">
        <v>52954</v>
      </c>
      <c r="K168" s="4">
        <f t="shared" si="19"/>
        <v>109104</v>
      </c>
      <c r="L168" s="5">
        <f t="shared" si="20"/>
        <v>529.71698113207549</v>
      </c>
    </row>
    <row r="169" spans="2:12" x14ac:dyDescent="0.3">
      <c r="B169" s="9">
        <v>45991</v>
      </c>
      <c r="C169" s="4">
        <v>1</v>
      </c>
      <c r="D169" s="4">
        <v>9</v>
      </c>
      <c r="E169" s="4">
        <v>-8</v>
      </c>
      <c r="F169" s="4">
        <v>99</v>
      </c>
      <c r="G169" s="4">
        <v>0</v>
      </c>
      <c r="H169" s="4">
        <v>500</v>
      </c>
      <c r="I169" s="4">
        <v>54100</v>
      </c>
      <c r="J169" s="4">
        <v>0</v>
      </c>
      <c r="K169" s="4">
        <f t="shared" si="19"/>
        <v>54100</v>
      </c>
      <c r="L169" s="5">
        <f t="shared" si="20"/>
        <v>546.46464646464642</v>
      </c>
    </row>
    <row r="170" spans="2:12" x14ac:dyDescent="0.3">
      <c r="B170" s="9">
        <v>46022</v>
      </c>
      <c r="C170" s="4">
        <v>3</v>
      </c>
      <c r="D170" s="4">
        <v>5</v>
      </c>
      <c r="E170" s="4">
        <v>-2</v>
      </c>
      <c r="F170" s="4">
        <v>90</v>
      </c>
      <c r="G170" s="4">
        <v>0</v>
      </c>
      <c r="H170" s="4">
        <v>11500</v>
      </c>
      <c r="I170" s="4">
        <v>57700</v>
      </c>
      <c r="J170" s="4">
        <v>0</v>
      </c>
      <c r="K170" s="4">
        <f t="shared" si="19"/>
        <v>57700</v>
      </c>
      <c r="L170" s="5">
        <f t="shared" si="20"/>
        <v>641.11111111111109</v>
      </c>
    </row>
    <row r="171" spans="2:12" x14ac:dyDescent="0.3">
      <c r="B171" s="9">
        <v>46053</v>
      </c>
      <c r="C171" s="4">
        <v>0</v>
      </c>
      <c r="D171" s="4">
        <v>2</v>
      </c>
      <c r="E171" s="4">
        <v>-2</v>
      </c>
      <c r="F171" s="4">
        <v>93</v>
      </c>
      <c r="G171" s="4">
        <v>0</v>
      </c>
      <c r="H171" s="4">
        <v>0</v>
      </c>
      <c r="I171" s="4">
        <v>58300</v>
      </c>
      <c r="J171" s="4">
        <v>0</v>
      </c>
      <c r="K171" s="4">
        <f t="shared" si="19"/>
        <v>58300</v>
      </c>
      <c r="L171" s="5">
        <f t="shared" si="20"/>
        <v>626.88172043010752</v>
      </c>
    </row>
    <row r="172" spans="2:12" x14ac:dyDescent="0.3">
      <c r="B172" s="9">
        <v>46081</v>
      </c>
      <c r="C172" s="4">
        <v>0</v>
      </c>
      <c r="D172" s="4">
        <v>4</v>
      </c>
      <c r="E172" s="4">
        <v>-4</v>
      </c>
      <c r="F172" s="4">
        <v>77</v>
      </c>
      <c r="G172" s="4">
        <v>0</v>
      </c>
      <c r="H172" s="4">
        <v>0</v>
      </c>
      <c r="I172" s="4">
        <v>44900</v>
      </c>
      <c r="J172" s="4">
        <v>0</v>
      </c>
      <c r="K172" s="4">
        <f t="shared" si="19"/>
        <v>44900</v>
      </c>
      <c r="L172" s="5">
        <f t="shared" si="20"/>
        <v>583.11688311688317</v>
      </c>
    </row>
    <row r="173" spans="2:12" x14ac:dyDescent="0.3">
      <c r="B173" s="9">
        <v>46112</v>
      </c>
      <c r="C173" s="4">
        <v>0</v>
      </c>
      <c r="D173" s="4">
        <v>5</v>
      </c>
      <c r="E173" s="4">
        <v>-5</v>
      </c>
      <c r="F173" s="4">
        <v>85</v>
      </c>
      <c r="G173" s="4">
        <v>1</v>
      </c>
      <c r="H173" s="4">
        <v>0</v>
      </c>
      <c r="I173" s="4">
        <v>44850</v>
      </c>
      <c r="J173" s="4">
        <v>1000</v>
      </c>
      <c r="K173" s="4">
        <f t="shared" si="19"/>
        <v>45850</v>
      </c>
      <c r="L173" s="5">
        <f t="shared" si="20"/>
        <v>527.64705882352939</v>
      </c>
    </row>
    <row r="174" spans="2:12" x14ac:dyDescent="0.3">
      <c r="B174" s="9">
        <v>46142</v>
      </c>
      <c r="C174" s="4">
        <v>2</v>
      </c>
      <c r="D174" s="4">
        <v>10</v>
      </c>
      <c r="E174" s="4">
        <v>-8</v>
      </c>
      <c r="F174" s="4">
        <v>90</v>
      </c>
      <c r="G174" s="4">
        <v>57</v>
      </c>
      <c r="H174" s="4">
        <v>2500</v>
      </c>
      <c r="I174" s="4">
        <v>48050</v>
      </c>
      <c r="J174" s="4">
        <v>111551</v>
      </c>
      <c r="K174" s="4">
        <f t="shared" si="19"/>
        <v>159601</v>
      </c>
      <c r="L174" s="5">
        <f t="shared" si="20"/>
        <v>533.88888888888891</v>
      </c>
    </row>
    <row r="175" spans="2:12" x14ac:dyDescent="0.3">
      <c r="B175" s="9">
        <v>46173</v>
      </c>
      <c r="C175" s="4">
        <v>0</v>
      </c>
      <c r="D175" s="4">
        <v>6</v>
      </c>
      <c r="E175" s="4">
        <v>-6</v>
      </c>
      <c r="F175" s="4">
        <v>79</v>
      </c>
      <c r="G175" s="4">
        <v>24</v>
      </c>
      <c r="H175" s="4">
        <v>0</v>
      </c>
      <c r="I175" s="4">
        <v>34750</v>
      </c>
      <c r="J175" s="4">
        <v>14500</v>
      </c>
      <c r="K175" s="4">
        <f t="shared" si="19"/>
        <v>49250</v>
      </c>
      <c r="L175" s="5">
        <f t="shared" si="20"/>
        <v>439.87341772151899</v>
      </c>
    </row>
    <row r="176" spans="2:12" ht="15.6" x14ac:dyDescent="0.3">
      <c r="B176" s="6" t="s">
        <v>12</v>
      </c>
      <c r="C176" s="7">
        <v>42</v>
      </c>
      <c r="D176" s="7">
        <v>65</v>
      </c>
      <c r="E176" s="7">
        <v>-23</v>
      </c>
      <c r="F176" s="7">
        <v>1484</v>
      </c>
      <c r="G176" s="7">
        <v>179</v>
      </c>
      <c r="H176" s="7">
        <v>42500</v>
      </c>
      <c r="I176" s="7">
        <v>789000</v>
      </c>
      <c r="J176" s="7">
        <v>230859</v>
      </c>
      <c r="K176" s="7">
        <f>SUM(K159:K175)</f>
        <v>1019859</v>
      </c>
      <c r="L176" s="8">
        <f>I176/F176</f>
        <v>531.67115902964963</v>
      </c>
    </row>
    <row r="180" spans="2:12" ht="23.4" x14ac:dyDescent="0.45">
      <c r="B180" s="1" t="s">
        <v>20</v>
      </c>
    </row>
    <row r="181" spans="2:12" ht="72" x14ac:dyDescent="0.3">
      <c r="B181" s="2" t="s">
        <v>1</v>
      </c>
      <c r="C181" s="2" t="s">
        <v>2</v>
      </c>
      <c r="D181" s="2" t="s">
        <v>3</v>
      </c>
      <c r="E181" s="2" t="s">
        <v>4</v>
      </c>
      <c r="F181" s="2" t="s">
        <v>5</v>
      </c>
      <c r="G181" s="2" t="s">
        <v>6</v>
      </c>
      <c r="H181" s="2" t="s">
        <v>7</v>
      </c>
      <c r="I181" s="2" t="s">
        <v>8</v>
      </c>
      <c r="J181" s="2" t="s">
        <v>9</v>
      </c>
      <c r="K181" s="2" t="s">
        <v>10</v>
      </c>
      <c r="L181" s="2" t="s">
        <v>11</v>
      </c>
    </row>
    <row r="182" spans="2:12" x14ac:dyDescent="0.3">
      <c r="B182" s="9">
        <v>45688</v>
      </c>
      <c r="C182" s="4">
        <v>0</v>
      </c>
      <c r="D182" s="4">
        <v>12</v>
      </c>
      <c r="E182" s="4">
        <v>-12</v>
      </c>
      <c r="F182" s="4">
        <v>236</v>
      </c>
      <c r="G182" s="4">
        <v>3</v>
      </c>
      <c r="H182" s="4">
        <v>0</v>
      </c>
      <c r="I182" s="4">
        <v>136886</v>
      </c>
      <c r="J182" s="4">
        <v>750</v>
      </c>
      <c r="K182" s="4">
        <f>I182+J182</f>
        <v>137636</v>
      </c>
      <c r="L182" s="5">
        <f>I182/F182</f>
        <v>580.02542372881351</v>
      </c>
    </row>
    <row r="183" spans="2:12" x14ac:dyDescent="0.3">
      <c r="B183" s="9">
        <v>45716</v>
      </c>
      <c r="C183" s="4">
        <v>1</v>
      </c>
      <c r="D183" s="4">
        <v>8</v>
      </c>
      <c r="E183" s="4">
        <v>-7</v>
      </c>
      <c r="F183" s="4">
        <v>231</v>
      </c>
      <c r="G183" s="4">
        <v>0</v>
      </c>
      <c r="H183" s="4">
        <v>500</v>
      </c>
      <c r="I183" s="4">
        <v>134036</v>
      </c>
      <c r="J183" s="4">
        <v>0</v>
      </c>
      <c r="K183" s="4">
        <f t="shared" ref="K183:K198" si="21">I183+J183</f>
        <v>134036</v>
      </c>
      <c r="L183" s="5">
        <f t="shared" ref="L183:L198" si="22">I183/F183</f>
        <v>580.24242424242425</v>
      </c>
    </row>
    <row r="184" spans="2:12" x14ac:dyDescent="0.3">
      <c r="B184" s="9">
        <v>45747</v>
      </c>
      <c r="C184" s="4">
        <v>2</v>
      </c>
      <c r="D184" s="4">
        <v>8</v>
      </c>
      <c r="E184" s="4">
        <v>-6</v>
      </c>
      <c r="F184" s="4">
        <v>217</v>
      </c>
      <c r="G184" s="4">
        <v>1</v>
      </c>
      <c r="H184" s="4">
        <v>600</v>
      </c>
      <c r="I184" s="4">
        <v>129286</v>
      </c>
      <c r="J184" s="4">
        <v>300</v>
      </c>
      <c r="K184" s="4">
        <f t="shared" si="21"/>
        <v>129586</v>
      </c>
      <c r="L184" s="5">
        <f t="shared" si="22"/>
        <v>595.78801843317967</v>
      </c>
    </row>
    <row r="185" spans="2:12" x14ac:dyDescent="0.3">
      <c r="B185" s="9">
        <v>45777</v>
      </c>
      <c r="C185" s="4">
        <v>3</v>
      </c>
      <c r="D185" s="4">
        <v>8</v>
      </c>
      <c r="E185" s="4">
        <v>-5</v>
      </c>
      <c r="F185" s="4">
        <v>227</v>
      </c>
      <c r="G185" s="4">
        <v>1</v>
      </c>
      <c r="H185" s="4">
        <v>2500</v>
      </c>
      <c r="I185" s="4">
        <v>133186</v>
      </c>
      <c r="J185" s="4">
        <v>1000</v>
      </c>
      <c r="K185" s="4">
        <f t="shared" si="21"/>
        <v>134186</v>
      </c>
      <c r="L185" s="5">
        <f t="shared" si="22"/>
        <v>586.72246696035245</v>
      </c>
    </row>
    <row r="186" spans="2:12" x14ac:dyDescent="0.3">
      <c r="B186" s="9">
        <v>45808</v>
      </c>
      <c r="C186" s="4">
        <v>17</v>
      </c>
      <c r="D186" s="4">
        <v>6</v>
      </c>
      <c r="E186" s="4">
        <v>11</v>
      </c>
      <c r="F186" s="4">
        <v>231</v>
      </c>
      <c r="G186" s="4">
        <v>37</v>
      </c>
      <c r="H186" s="4">
        <v>21300</v>
      </c>
      <c r="I186" s="4">
        <v>150736</v>
      </c>
      <c r="J186" s="4">
        <v>62925</v>
      </c>
      <c r="K186" s="4">
        <f t="shared" si="21"/>
        <v>213661</v>
      </c>
      <c r="L186" s="5">
        <f t="shared" si="22"/>
        <v>652.53679653679649</v>
      </c>
    </row>
    <row r="187" spans="2:12" x14ac:dyDescent="0.3">
      <c r="B187" s="9">
        <v>45838</v>
      </c>
      <c r="C187" s="4">
        <v>1</v>
      </c>
      <c r="D187" s="4">
        <v>9</v>
      </c>
      <c r="E187" s="4">
        <v>-8</v>
      </c>
      <c r="F187" s="4">
        <v>224</v>
      </c>
      <c r="G187" s="4">
        <v>4</v>
      </c>
      <c r="H187" s="4">
        <v>500</v>
      </c>
      <c r="I187" s="4">
        <v>125786</v>
      </c>
      <c r="J187" s="4">
        <v>1250</v>
      </c>
      <c r="K187" s="4">
        <f t="shared" si="21"/>
        <v>127036</v>
      </c>
      <c r="L187" s="5">
        <f t="shared" si="22"/>
        <v>561.54464285714289</v>
      </c>
    </row>
    <row r="188" spans="2:12" x14ac:dyDescent="0.3">
      <c r="B188" s="9">
        <v>45869</v>
      </c>
      <c r="C188" s="4">
        <v>1</v>
      </c>
      <c r="D188" s="4">
        <v>9</v>
      </c>
      <c r="E188" s="4">
        <v>-8</v>
      </c>
      <c r="F188" s="4">
        <v>216</v>
      </c>
      <c r="G188" s="4">
        <v>0</v>
      </c>
      <c r="H188" s="4">
        <v>800</v>
      </c>
      <c r="I188" s="4">
        <v>122786</v>
      </c>
      <c r="J188" s="4">
        <v>0</v>
      </c>
      <c r="K188" s="4">
        <f t="shared" si="21"/>
        <v>122786</v>
      </c>
      <c r="L188" s="5">
        <f t="shared" si="22"/>
        <v>568.4537037037037</v>
      </c>
    </row>
    <row r="189" spans="2:12" x14ac:dyDescent="0.3">
      <c r="B189" s="9">
        <v>45900</v>
      </c>
      <c r="C189" s="4">
        <v>5</v>
      </c>
      <c r="D189" s="4">
        <v>8</v>
      </c>
      <c r="E189" s="4">
        <v>-3</v>
      </c>
      <c r="F189" s="4">
        <v>212</v>
      </c>
      <c r="G189" s="4">
        <v>33</v>
      </c>
      <c r="H189" s="4">
        <v>1900</v>
      </c>
      <c r="I189" s="4">
        <v>121286</v>
      </c>
      <c r="J189" s="4">
        <v>64702</v>
      </c>
      <c r="K189" s="4">
        <f t="shared" si="21"/>
        <v>185988</v>
      </c>
      <c r="L189" s="5">
        <f t="shared" si="22"/>
        <v>572.10377358490564</v>
      </c>
    </row>
    <row r="190" spans="2:12" x14ac:dyDescent="0.3">
      <c r="B190" s="9">
        <v>45930</v>
      </c>
      <c r="C190" s="4">
        <v>1</v>
      </c>
      <c r="D190" s="4">
        <v>7</v>
      </c>
      <c r="E190" s="4">
        <v>-6</v>
      </c>
      <c r="F190" s="4">
        <v>205</v>
      </c>
      <c r="G190" s="4">
        <v>8</v>
      </c>
      <c r="H190" s="4">
        <v>10000</v>
      </c>
      <c r="I190" s="4">
        <v>128586</v>
      </c>
      <c r="J190" s="4">
        <v>4000</v>
      </c>
      <c r="K190" s="4">
        <f t="shared" si="21"/>
        <v>132586</v>
      </c>
      <c r="L190" s="5">
        <f t="shared" si="22"/>
        <v>627.24878048780488</v>
      </c>
    </row>
    <row r="191" spans="2:12" x14ac:dyDescent="0.3">
      <c r="B191" s="9">
        <v>45961</v>
      </c>
      <c r="C191" s="4">
        <v>6</v>
      </c>
      <c r="D191" s="4">
        <v>5</v>
      </c>
      <c r="E191" s="4">
        <v>1</v>
      </c>
      <c r="F191" s="4">
        <v>208</v>
      </c>
      <c r="G191" s="4">
        <v>32</v>
      </c>
      <c r="H191" s="4">
        <v>7500</v>
      </c>
      <c r="I191" s="4">
        <v>125686</v>
      </c>
      <c r="J191" s="4">
        <v>20212</v>
      </c>
      <c r="K191" s="4">
        <f t="shared" si="21"/>
        <v>145898</v>
      </c>
      <c r="L191" s="5">
        <f t="shared" si="22"/>
        <v>604.25961538461536</v>
      </c>
    </row>
    <row r="192" spans="2:12" x14ac:dyDescent="0.3">
      <c r="B192" s="9">
        <v>45991</v>
      </c>
      <c r="C192" s="4">
        <v>3</v>
      </c>
      <c r="D192" s="4">
        <v>4</v>
      </c>
      <c r="E192" s="4">
        <v>-1</v>
      </c>
      <c r="F192" s="4">
        <v>212</v>
      </c>
      <c r="G192" s="4">
        <v>33</v>
      </c>
      <c r="H192" s="4">
        <v>7300</v>
      </c>
      <c r="I192" s="4">
        <v>132086</v>
      </c>
      <c r="J192" s="4">
        <v>63410</v>
      </c>
      <c r="K192" s="4">
        <f t="shared" si="21"/>
        <v>195496</v>
      </c>
      <c r="L192" s="5">
        <f t="shared" si="22"/>
        <v>623.04716981132071</v>
      </c>
    </row>
    <row r="193" spans="2:12" x14ac:dyDescent="0.3">
      <c r="B193" s="9">
        <v>46022</v>
      </c>
      <c r="C193" s="4">
        <v>13</v>
      </c>
      <c r="D193" s="4">
        <v>7</v>
      </c>
      <c r="E193" s="4">
        <v>6</v>
      </c>
      <c r="F193" s="4">
        <v>216</v>
      </c>
      <c r="G193" s="4">
        <v>52</v>
      </c>
      <c r="H193" s="4">
        <v>30800</v>
      </c>
      <c r="I193" s="4">
        <v>157036</v>
      </c>
      <c r="J193" s="4">
        <v>33501</v>
      </c>
      <c r="K193" s="4">
        <f t="shared" si="21"/>
        <v>190537</v>
      </c>
      <c r="L193" s="5">
        <f t="shared" si="22"/>
        <v>727.01851851851848</v>
      </c>
    </row>
    <row r="194" spans="2:12" x14ac:dyDescent="0.3">
      <c r="B194" s="9">
        <v>46053</v>
      </c>
      <c r="C194" s="4">
        <v>0</v>
      </c>
      <c r="D194" s="4">
        <v>10</v>
      </c>
      <c r="E194" s="4">
        <v>-10</v>
      </c>
      <c r="F194" s="4">
        <v>201</v>
      </c>
      <c r="G194" s="4">
        <v>2</v>
      </c>
      <c r="H194" s="4">
        <v>0</v>
      </c>
      <c r="I194" s="4">
        <v>142036</v>
      </c>
      <c r="J194" s="4">
        <v>2300</v>
      </c>
      <c r="K194" s="4">
        <f t="shared" si="21"/>
        <v>144336</v>
      </c>
      <c r="L194" s="5">
        <f t="shared" si="22"/>
        <v>706.64676616915426</v>
      </c>
    </row>
    <row r="195" spans="2:12" x14ac:dyDescent="0.3">
      <c r="B195" s="9">
        <v>46081</v>
      </c>
      <c r="C195" s="4">
        <v>0</v>
      </c>
      <c r="D195" s="4">
        <v>5</v>
      </c>
      <c r="E195" s="4">
        <v>-5</v>
      </c>
      <c r="F195" s="4">
        <v>165</v>
      </c>
      <c r="G195" s="4">
        <v>0</v>
      </c>
      <c r="H195" s="4">
        <v>0</v>
      </c>
      <c r="I195" s="4">
        <v>113236</v>
      </c>
      <c r="J195" s="4">
        <v>0</v>
      </c>
      <c r="K195" s="4">
        <f t="shared" si="21"/>
        <v>113236</v>
      </c>
      <c r="L195" s="5">
        <f t="shared" si="22"/>
        <v>686.27878787878785</v>
      </c>
    </row>
    <row r="196" spans="2:12" x14ac:dyDescent="0.3">
      <c r="B196" s="9">
        <v>46112</v>
      </c>
      <c r="C196" s="4">
        <v>0</v>
      </c>
      <c r="D196" s="4">
        <v>4</v>
      </c>
      <c r="E196" s="4">
        <v>-4</v>
      </c>
      <c r="F196" s="4">
        <v>193</v>
      </c>
      <c r="G196" s="4">
        <v>2</v>
      </c>
      <c r="H196" s="4">
        <v>0</v>
      </c>
      <c r="I196" s="4">
        <v>112536</v>
      </c>
      <c r="J196" s="4">
        <v>1750</v>
      </c>
      <c r="K196" s="4">
        <f t="shared" si="21"/>
        <v>114286</v>
      </c>
      <c r="L196" s="5">
        <f t="shared" si="22"/>
        <v>583.08808290155446</v>
      </c>
    </row>
    <row r="197" spans="2:12" x14ac:dyDescent="0.3">
      <c r="B197" s="9">
        <v>46142</v>
      </c>
      <c r="C197" s="4">
        <v>0</v>
      </c>
      <c r="D197" s="4">
        <v>17</v>
      </c>
      <c r="E197" s="4">
        <v>-17</v>
      </c>
      <c r="F197" s="4">
        <v>198</v>
      </c>
      <c r="G197" s="4">
        <v>0</v>
      </c>
      <c r="H197" s="4">
        <v>0</v>
      </c>
      <c r="I197" s="4">
        <v>115061</v>
      </c>
      <c r="J197" s="4">
        <v>0</v>
      </c>
      <c r="K197" s="4">
        <f t="shared" si="21"/>
        <v>115061</v>
      </c>
      <c r="L197" s="5">
        <f t="shared" si="22"/>
        <v>581.11616161616166</v>
      </c>
    </row>
    <row r="198" spans="2:12" x14ac:dyDescent="0.3">
      <c r="B198" s="9">
        <v>46173</v>
      </c>
      <c r="C198" s="4">
        <v>1</v>
      </c>
      <c r="D198" s="4">
        <v>10</v>
      </c>
      <c r="E198" s="4">
        <v>-9</v>
      </c>
      <c r="F198" s="4">
        <v>178</v>
      </c>
      <c r="G198" s="4">
        <v>1</v>
      </c>
      <c r="H198" s="4">
        <v>200</v>
      </c>
      <c r="I198" s="4">
        <v>106811</v>
      </c>
      <c r="J198" s="4">
        <v>500</v>
      </c>
      <c r="K198" s="4">
        <f t="shared" si="21"/>
        <v>107311</v>
      </c>
      <c r="L198" s="5">
        <f t="shared" si="22"/>
        <v>600.06179775280896</v>
      </c>
    </row>
    <row r="199" spans="2:12" ht="15.6" x14ac:dyDescent="0.3">
      <c r="B199" s="6" t="s">
        <v>12</v>
      </c>
      <c r="C199" s="7">
        <v>54</v>
      </c>
      <c r="D199" s="7">
        <v>137</v>
      </c>
      <c r="E199" s="7">
        <v>-83</v>
      </c>
      <c r="F199" s="7">
        <v>3570</v>
      </c>
      <c r="G199" s="7">
        <v>209</v>
      </c>
      <c r="H199" s="7">
        <v>83900</v>
      </c>
      <c r="I199" s="7">
        <v>2187062</v>
      </c>
      <c r="J199" s="7">
        <v>256600</v>
      </c>
      <c r="K199" s="7">
        <f>SUM(K182:K198)</f>
        <v>2443662</v>
      </c>
      <c r="L199" s="8">
        <f>I199/F199</f>
        <v>612.62240896358549</v>
      </c>
    </row>
  </sheetData>
  <conditionalFormatting sqref="L4:L2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6:L4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8:L6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70:L8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2:L10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5:L13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7:L15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9:L17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82:L19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:F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2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Д.</dc:creator>
  <cp:lastModifiedBy>Дмитрий Д.</cp:lastModifiedBy>
  <dcterms:created xsi:type="dcterms:W3CDTF">2026-07-03T06:42:36Z</dcterms:created>
  <dcterms:modified xsi:type="dcterms:W3CDTF">2026-07-03T07:30:32Z</dcterms:modified>
</cp:coreProperties>
</file>